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1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2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3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Ex4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5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6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4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5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6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nniferfajardo/Desktop/MBA/DATA/"/>
    </mc:Choice>
  </mc:AlternateContent>
  <xr:revisionPtr revIDLastSave="0" documentId="13_ncr:1_{B7A177D3-4542-B64E-887F-2FA6A39A071E}" xr6:coauthVersionLast="47" xr6:coauthVersionMax="47" xr10:uidLastSave="{00000000-0000-0000-0000-000000000000}"/>
  <bookViews>
    <workbookView xWindow="0" yWindow="0" windowWidth="28800" windowHeight="18000" xr2:uid="{A1636E6E-1286-2640-B0C2-D89B4222F324}"/>
  </bookViews>
  <sheets>
    <sheet name="EDA LL" sheetId="3" r:id="rId1"/>
    <sheet name="EDA PL" sheetId="4" r:id="rId2"/>
  </sheets>
  <externalReferences>
    <externalReference r:id="rId3"/>
  </externalReferences>
  <definedNames>
    <definedName name="_xlnm._FilterDatabase" localSheetId="0" hidden="1">'EDA LL'!$H$6:$H$18</definedName>
    <definedName name="_xlnm._FilterDatabase" localSheetId="1" hidden="1">'EDA PL'!#REF!</definedName>
    <definedName name="_xlchart.v1.0" hidden="1">'EDA LL'!$J$6</definedName>
    <definedName name="_xlchart.v1.1" hidden="1">'EDA LL'!$J$7:$J$18</definedName>
    <definedName name="_xlchart.v1.10" hidden="1">'EDA LL'!$H$6</definedName>
    <definedName name="_xlchart.v1.11" hidden="1">'EDA LL'!$H$7:$H$18</definedName>
    <definedName name="_xlchart.v1.12" hidden="1">'EDA LL'!$B$6</definedName>
    <definedName name="_xlchart.v1.13" hidden="1">'EDA LL'!$B$7:$B$18</definedName>
    <definedName name="_xlchart.v1.14" hidden="1">'EDA LL'!$C$6</definedName>
    <definedName name="_xlchart.v1.15" hidden="1">'EDA LL'!$C$7:$C$18</definedName>
    <definedName name="_xlchart.v1.16" hidden="1">'EDA LL'!$D$6</definedName>
    <definedName name="_xlchart.v1.17" hidden="1">'EDA LL'!$D$7:$D$18</definedName>
    <definedName name="_xlchart.v1.18" hidden="1">'EDA PL'!$F$6</definedName>
    <definedName name="_xlchart.v1.19" hidden="1">'EDA PL'!$F$7:$F$20</definedName>
    <definedName name="_xlchart.v1.2" hidden="1">'EDA LL'!$K$6</definedName>
    <definedName name="_xlchart.v1.20" hidden="1">'EDA PL'!$G$6</definedName>
    <definedName name="_xlchart.v1.21" hidden="1">'EDA PL'!$G$7:$G$20</definedName>
    <definedName name="_xlchart.v1.22" hidden="1">'EDA PL'!$H$6</definedName>
    <definedName name="_xlchart.v1.23" hidden="1">'EDA PL'!$H$7:$H$20</definedName>
    <definedName name="_xlchart.v1.24" hidden="1">'EDA PL'!$B$6</definedName>
    <definedName name="_xlchart.v1.25" hidden="1">'EDA PL'!$B$7:$B$20</definedName>
    <definedName name="_xlchart.v1.26" hidden="1">'EDA PL'!$C$6</definedName>
    <definedName name="_xlchart.v1.27" hidden="1">'EDA PL'!$C$7:$C$20</definedName>
    <definedName name="_xlchart.v1.28" hidden="1">'EDA PL'!$D$6</definedName>
    <definedName name="_xlchart.v1.29" hidden="1">'EDA PL'!$D$7:$D$20</definedName>
    <definedName name="_xlchart.v1.3" hidden="1">'EDA LL'!$K$7:$K$18</definedName>
    <definedName name="_xlchart.v1.30" hidden="1">'EDA PL'!$J$6</definedName>
    <definedName name="_xlchart.v1.31" hidden="1">'EDA PL'!$J$7:$J$20</definedName>
    <definedName name="_xlchart.v1.32" hidden="1">'EDA PL'!$K$6</definedName>
    <definedName name="_xlchart.v1.33" hidden="1">'EDA PL'!$K$7:$K$20</definedName>
    <definedName name="_xlchart.v1.34" hidden="1">'EDA PL'!$L$6</definedName>
    <definedName name="_xlchart.v1.35" hidden="1">'EDA PL'!$L$7:$L$20</definedName>
    <definedName name="_xlchart.v1.4" hidden="1">'EDA LL'!$L$6</definedName>
    <definedName name="_xlchart.v1.5" hidden="1">'EDA LL'!$L$7:$L$18</definedName>
    <definedName name="_xlchart.v1.6" hidden="1">'EDA LL'!$F$6</definedName>
    <definedName name="_xlchart.v1.7" hidden="1">'EDA LL'!$F$7:$F$18</definedName>
    <definedName name="_xlchart.v1.8" hidden="1">'EDA LL'!$G$6</definedName>
    <definedName name="_xlchart.v1.9" hidden="1">'EDA LL'!$G$7:$G$18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" i="4" l="1"/>
  <c r="O8" i="4"/>
  <c r="P7" i="4"/>
  <c r="O7" i="4"/>
  <c r="P6" i="4"/>
  <c r="O6" i="4"/>
  <c r="P8" i="3"/>
  <c r="O8" i="3"/>
  <c r="P7" i="3"/>
  <c r="O7" i="3"/>
  <c r="P6" i="3"/>
  <c r="O6" i="3"/>
</calcChain>
</file>

<file path=xl/sharedStrings.xml><?xml version="1.0" encoding="utf-8"?>
<sst xmlns="http://schemas.openxmlformats.org/spreadsheetml/2006/main" count="126" uniqueCount="56">
  <si>
    <t>LA LIGA</t>
  </si>
  <si>
    <t>*teams that played in all 3 seasons (12/20)</t>
  </si>
  <si>
    <t>Average Home Game Attendance</t>
  </si>
  <si>
    <t>Home GD</t>
  </si>
  <si>
    <t>Home Win Percentage</t>
  </si>
  <si>
    <t>Average Home GD</t>
  </si>
  <si>
    <t>Average Away GD</t>
  </si>
  <si>
    <t>2018-19</t>
  </si>
  <si>
    <t>2020-21</t>
  </si>
  <si>
    <t>2023-24</t>
  </si>
  <si>
    <t>Average Home Pts/MP</t>
  </si>
  <si>
    <t>Squad</t>
  </si>
  <si>
    <t>Average Attendance</t>
  </si>
  <si>
    <t> Alavés</t>
  </si>
  <si>
    <t> Athletic Club</t>
  </si>
  <si>
    <t> Atlético Madrid</t>
  </si>
  <si>
    <t> Barcelona</t>
  </si>
  <si>
    <t> Betis</t>
  </si>
  <si>
    <t> Celta Vigo</t>
  </si>
  <si>
    <t> Getafe</t>
  </si>
  <si>
    <t> Real Madrid</t>
  </si>
  <si>
    <t> Real Sociedad</t>
  </si>
  <si>
    <t> Sevilla</t>
  </si>
  <si>
    <t> Valencia</t>
  </si>
  <si>
    <t> Villarreal</t>
  </si>
  <si>
    <t> Wolves</t>
  </si>
  <si>
    <t> West Ham</t>
  </si>
  <si>
    <t> Tottenham</t>
  </si>
  <si>
    <t> Newcastle Utd</t>
  </si>
  <si>
    <t> Manchester Utd</t>
  </si>
  <si>
    <t> Manchester City</t>
  </si>
  <si>
    <t> Liverpool</t>
  </si>
  <si>
    <t> Fulham</t>
  </si>
  <si>
    <t> Everton</t>
  </si>
  <si>
    <t> Crystal Palace</t>
  </si>
  <si>
    <t> Chelsea</t>
  </si>
  <si>
    <t> Burnley</t>
  </si>
  <si>
    <t> Brighton</t>
  </si>
  <si>
    <t> Arsenal</t>
  </si>
  <si>
    <t>Attendance</t>
  </si>
  <si>
    <t>*teams that played in all 3 seasons (14/20)</t>
  </si>
  <si>
    <t>PREMIER LEAGUE</t>
  </si>
  <si>
    <t>Figure 15</t>
  </si>
  <si>
    <t>Figure 17</t>
  </si>
  <si>
    <t>Figure 5</t>
  </si>
  <si>
    <t>Figure 7</t>
  </si>
  <si>
    <t>Figure 9</t>
  </si>
  <si>
    <t>Figure 11</t>
  </si>
  <si>
    <t>Figure 13</t>
  </si>
  <si>
    <t>Figure 16</t>
  </si>
  <si>
    <t>Figure 18</t>
  </si>
  <si>
    <t>Figure 6</t>
  </si>
  <si>
    <t>Figure 8</t>
  </si>
  <si>
    <t>Figure 10</t>
  </si>
  <si>
    <t>Figure 12</t>
  </si>
  <si>
    <t>Figure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</si>
</sst>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u/>
      <sz val="12"/>
      <name val="Verdana"/>
      <family val="2"/>
    </font>
    <font>
      <sz val="12"/>
      <color theme="1"/>
      <name val="Verdana"/>
      <family val="2"/>
    </font>
    <font>
      <i/>
      <sz val="12"/>
      <name val="Verdana"/>
      <family val="2"/>
    </font>
    <font>
      <b/>
      <sz val="12"/>
      <name val="Verdana"/>
      <family val="2"/>
    </font>
    <font>
      <sz val="12"/>
      <name val="Verdana"/>
      <family val="2"/>
    </font>
    <font>
      <i/>
      <sz val="12"/>
      <color theme="1"/>
      <name val="Verdana"/>
      <family val="2"/>
    </font>
    <font>
      <b/>
      <sz val="8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DE2"/>
        <bgColor indexed="64"/>
      </patternFill>
    </fill>
  </fills>
  <borders count="19">
    <border>
      <left/>
      <right/>
      <top/>
      <bottom/>
      <diagonal/>
    </border>
    <border>
      <left/>
      <right style="thin">
        <color theme="2" tint="-9.9917600024414813E-2"/>
      </right>
      <top/>
      <bottom style="thin">
        <color theme="2" tint="-9.9917600024414813E-2"/>
      </bottom>
      <diagonal/>
    </border>
    <border>
      <left style="thin">
        <color theme="2" tint="-9.9917600024414813E-2"/>
      </left>
      <right style="thin">
        <color theme="2" tint="-9.9917600024414813E-2"/>
      </right>
      <top/>
      <bottom style="thin">
        <color theme="2" tint="-9.9917600024414813E-2"/>
      </bottom>
      <diagonal/>
    </border>
    <border>
      <left style="thin">
        <color theme="2" tint="-9.9917600024414813E-2"/>
      </left>
      <right/>
      <top/>
      <bottom style="thin">
        <color theme="2" tint="-9.9917600024414813E-2"/>
      </bottom>
      <diagonal/>
    </border>
    <border>
      <left/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/>
      <top/>
      <bottom style="thin">
        <color theme="2"/>
      </bottom>
      <diagonal/>
    </border>
    <border>
      <left/>
      <right style="thin">
        <color theme="2" tint="-9.9917600024414813E-2"/>
      </right>
      <top style="thin">
        <color theme="2" tint="-9.9917600024414813E-2"/>
      </top>
      <bottom style="thin">
        <color theme="2" tint="-9.9917600024414813E-2"/>
      </bottom>
      <diagonal/>
    </border>
    <border>
      <left style="thin">
        <color theme="2" tint="-9.9917600024414813E-2"/>
      </left>
      <right style="thin">
        <color theme="2" tint="-9.9917600024414813E-2"/>
      </right>
      <top style="thin">
        <color theme="2" tint="-9.9917600024414813E-2"/>
      </top>
      <bottom style="thin">
        <color theme="2" tint="-9.9917600024414813E-2"/>
      </bottom>
      <diagonal/>
    </border>
    <border>
      <left style="thin">
        <color theme="2" tint="-9.9917600024414813E-2"/>
      </left>
      <right/>
      <top style="thin">
        <color theme="2" tint="-9.9917600024414813E-2"/>
      </top>
      <bottom style="thin">
        <color theme="2" tint="-9.9917600024414813E-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 style="thin">
        <color theme="2" tint="-9.9917600024414813E-2"/>
      </right>
      <top style="thin">
        <color theme="2" tint="-9.9917600024414813E-2"/>
      </top>
      <bottom/>
      <diagonal/>
    </border>
    <border>
      <left style="thin">
        <color theme="2" tint="-9.9917600024414813E-2"/>
      </left>
      <right style="thin">
        <color theme="2" tint="-9.9917600024414813E-2"/>
      </right>
      <top style="thin">
        <color theme="2" tint="-9.9917600024414813E-2"/>
      </top>
      <bottom/>
      <diagonal/>
    </border>
    <border>
      <left style="thin">
        <color theme="2" tint="-9.9917600024414813E-2"/>
      </left>
      <right/>
      <top style="thin">
        <color theme="2" tint="-9.9917600024414813E-2"/>
      </top>
      <bottom/>
      <diagonal/>
    </border>
    <border>
      <left/>
      <right style="thin">
        <color theme="2"/>
      </right>
      <top style="thin">
        <color theme="2"/>
      </top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1" xfId="0" applyFont="1" applyBorder="1"/>
    <xf numFmtId="0" fontId="3" fillId="3" borderId="2" xfId="0" applyFont="1" applyFill="1" applyBorder="1"/>
    <xf numFmtId="0" fontId="3" fillId="3" borderId="3" xfId="0" applyFont="1" applyFill="1" applyBorder="1"/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3" borderId="7" xfId="0" applyFont="1" applyFill="1" applyBorder="1"/>
    <xf numFmtId="2" fontId="3" fillId="0" borderId="8" xfId="0" applyNumberFormat="1" applyFont="1" applyBorder="1"/>
    <xf numFmtId="2" fontId="3" fillId="0" borderId="9" xfId="0" applyNumberFormat="1" applyFont="1" applyBorder="1"/>
    <xf numFmtId="3" fontId="3" fillId="0" borderId="10" xfId="0" applyNumberFormat="1" applyFont="1" applyBorder="1"/>
    <xf numFmtId="0" fontId="3" fillId="0" borderId="11" xfId="0" applyFont="1" applyBorder="1"/>
    <xf numFmtId="3" fontId="3" fillId="0" borderId="12" xfId="0" applyNumberFormat="1" applyFont="1" applyBorder="1"/>
    <xf numFmtId="0" fontId="3" fillId="0" borderId="10" xfId="0" applyFont="1" applyBorder="1"/>
    <xf numFmtId="0" fontId="3" fillId="0" borderId="12" xfId="0" applyFont="1" applyBorder="1"/>
    <xf numFmtId="10" fontId="3" fillId="0" borderId="10" xfId="0" applyNumberFormat="1" applyFont="1" applyBorder="1"/>
    <xf numFmtId="10" fontId="3" fillId="0" borderId="11" xfId="0" applyNumberFormat="1" applyFont="1" applyBorder="1"/>
    <xf numFmtId="10" fontId="3" fillId="0" borderId="12" xfId="0" applyNumberFormat="1" applyFont="1" applyBorder="1"/>
    <xf numFmtId="0" fontId="3" fillId="3" borderId="7" xfId="1" applyNumberFormat="1" applyFont="1" applyFill="1" applyBorder="1"/>
    <xf numFmtId="0" fontId="3" fillId="3" borderId="13" xfId="0" applyFont="1" applyFill="1" applyBorder="1"/>
    <xf numFmtId="2" fontId="3" fillId="0" borderId="14" xfId="0" applyNumberFormat="1" applyFont="1" applyBorder="1"/>
    <xf numFmtId="2" fontId="3" fillId="0" borderId="15" xfId="0" applyNumberFormat="1" applyFont="1" applyBorder="1"/>
    <xf numFmtId="10" fontId="3" fillId="0" borderId="0" xfId="0" applyNumberFormat="1" applyFont="1"/>
    <xf numFmtId="10" fontId="6" fillId="0" borderId="0" xfId="0" applyNumberFormat="1" applyFont="1"/>
    <xf numFmtId="0" fontId="3" fillId="0" borderId="4" xfId="0" applyFont="1" applyBorder="1"/>
    <xf numFmtId="0" fontId="3" fillId="3" borderId="6" xfId="0" applyFont="1" applyFill="1" applyBorder="1"/>
    <xf numFmtId="0" fontId="5" fillId="0" borderId="0" xfId="0" applyFont="1" applyAlignment="1">
      <alignment horizontal="center" vertical="center"/>
    </xf>
    <xf numFmtId="0" fontId="3" fillId="3" borderId="10" xfId="0" applyFont="1" applyFill="1" applyBorder="1"/>
    <xf numFmtId="2" fontId="3" fillId="0" borderId="12" xfId="0" applyNumberFormat="1" applyFont="1" applyBorder="1"/>
    <xf numFmtId="0" fontId="6" fillId="0" borderId="0" xfId="0" applyFont="1"/>
    <xf numFmtId="0" fontId="6" fillId="0" borderId="0" xfId="0" applyFont="1" applyAlignment="1">
      <alignment horizontal="right"/>
    </xf>
    <xf numFmtId="0" fontId="6" fillId="0" borderId="0" xfId="0" applyFont="1" applyAlignment="1">
      <alignment vertical="center"/>
    </xf>
    <xf numFmtId="0" fontId="3" fillId="3" borderId="10" xfId="1" applyNumberFormat="1" applyFont="1" applyFill="1" applyBorder="1"/>
    <xf numFmtId="0" fontId="3" fillId="3" borderId="16" xfId="0" applyFont="1" applyFill="1" applyBorder="1"/>
    <xf numFmtId="0" fontId="3" fillId="0" borderId="17" xfId="0" applyFont="1" applyBorder="1"/>
    <xf numFmtId="3" fontId="3" fillId="0" borderId="16" xfId="0" applyNumberFormat="1" applyFont="1" applyBorder="1"/>
    <xf numFmtId="0" fontId="3" fillId="0" borderId="18" xfId="0" applyFont="1" applyBorder="1"/>
    <xf numFmtId="3" fontId="3" fillId="0" borderId="17" xfId="0" applyNumberFormat="1" applyFont="1" applyBorder="1"/>
    <xf numFmtId="0" fontId="3" fillId="0" borderId="16" xfId="0" applyFont="1" applyBorder="1"/>
    <xf numFmtId="10" fontId="3" fillId="0" borderId="16" xfId="0" applyNumberFormat="1" applyFont="1" applyBorder="1"/>
    <xf numFmtId="10" fontId="3" fillId="0" borderId="18" xfId="0" applyNumberFormat="1" applyFont="1" applyBorder="1"/>
    <xf numFmtId="10" fontId="3" fillId="0" borderId="17" xfId="0" applyNumberFormat="1" applyFont="1" applyBorder="1"/>
    <xf numFmtId="3" fontId="6" fillId="0" borderId="0" xfId="0" applyNumberFormat="1" applyFont="1"/>
    <xf numFmtId="3" fontId="3" fillId="0" borderId="0" xfId="0" applyNumberFormat="1" applyFont="1"/>
    <xf numFmtId="3" fontId="6" fillId="0" borderId="0" xfId="0" applyNumberFormat="1" applyFont="1" applyAlignment="1">
      <alignment horizontal="right"/>
    </xf>
    <xf numFmtId="0" fontId="7" fillId="0" borderId="0" xfId="0" applyFont="1" applyAlignment="1">
      <alignment horizontal="center"/>
    </xf>
    <xf numFmtId="1" fontId="3" fillId="0" borderId="0" xfId="0" applyNumberFormat="1" applyFont="1"/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2" fontId="3" fillId="0" borderId="0" xfId="0" applyNumberFormat="1" applyFont="1"/>
    <xf numFmtId="0" fontId="6" fillId="0" borderId="10" xfId="0" applyFont="1" applyBorder="1"/>
    <xf numFmtId="1" fontId="3" fillId="0" borderId="11" xfId="0" applyNumberFormat="1" applyFont="1" applyBorder="1"/>
    <xf numFmtId="1" fontId="3" fillId="0" borderId="12" xfId="0" applyNumberFormat="1" applyFont="1" applyBorder="1"/>
    <xf numFmtId="0" fontId="6" fillId="0" borderId="16" xfId="0" applyFont="1" applyBorder="1"/>
    <xf numFmtId="1" fontId="3" fillId="0" borderId="18" xfId="0" applyNumberFormat="1" applyFont="1" applyBorder="1"/>
    <xf numFmtId="1" fontId="3" fillId="0" borderId="17" xfId="0" applyNumberFormat="1" applyFont="1" applyBorder="1"/>
    <xf numFmtId="0" fontId="6" fillId="0" borderId="0" xfId="0" applyFont="1" applyAlignment="1">
      <alignment horizontal="right" vertical="center"/>
    </xf>
    <xf numFmtId="2" fontId="3" fillId="0" borderId="17" xfId="0" applyNumberFormat="1" applyFont="1" applyBorder="1"/>
    <xf numFmtId="0" fontId="5" fillId="2" borderId="0" xfId="0" applyFont="1" applyFill="1" applyAlignment="1">
      <alignment horizontal="center" vertical="center"/>
    </xf>
    <xf numFmtId="0" fontId="8" fillId="0" borderId="0" xfId="0" applyFont="1" applyAlignment="1">
      <alignment vertical="top"/>
    </xf>
    <xf numFmtId="0" fontId="8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r>
              <a:rPr lang="en-US" sz="1000" b="1"/>
              <a:t>La Liga</a:t>
            </a:r>
            <a:r>
              <a:rPr lang="en-US" sz="1000" b="0"/>
              <a:t> </a:t>
            </a:r>
            <a:r>
              <a:rPr lang="en-US" sz="1000" b="0" i="0" u="none" strike="noStrike" baseline="0"/>
              <a:t>Average Home vs. Away Goal Differential</a:t>
            </a:r>
            <a:endParaRPr lang="en-US" sz="1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35EEF827-1C25-5545-8560-603302A325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5104-5649-A5D0-E0EBAF061D1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393A7CB-66B5-E743-8735-305787E349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5104-5649-A5D0-E0EBAF061D1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F940427-6208-3B4F-9CB8-E154F2563F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5104-5649-A5D0-E0EBAF061D1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55EF30F-7889-A14D-BC67-4743A26E8A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5104-5649-A5D0-E0EBAF061D1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C071446-45D9-DB47-BCD7-911C25FB92F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5104-5649-A5D0-E0EBAF061D1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0E31022-439E-674E-87EC-5900836E3F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5104-5649-A5D0-E0EBAF061D1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A473C8A2-B0E2-254D-B136-D1BE07593E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5104-5649-A5D0-E0EBAF061D1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CE5D8C72-8A52-E64F-8BEE-8FE17EA4AF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5104-5649-A5D0-E0EBAF061D1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B9765243-D72C-DA4A-9C01-35C677D316D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5104-5649-A5D0-E0EBAF061D1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1BBFBC03-577F-034B-8B99-5C649CB7C9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5104-5649-A5D0-E0EBAF061D1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3398BDEB-F659-2645-83A8-D1B5EAC019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5104-5649-A5D0-E0EBAF061D1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61140E33-1C13-5A46-9F60-E2B3B32400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5104-5649-A5D0-E0EBAF061D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Verdana" panose="020B0604030504040204" pitchFamily="34" charset="0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'EDA LL'!$C$36:$C$47</c:f>
              <c:numCache>
                <c:formatCode>0</c:formatCode>
                <c:ptCount val="12"/>
                <c:pt idx="0">
                  <c:v>0</c:v>
                </c:pt>
                <c:pt idx="1">
                  <c:v>13.666666666666666</c:v>
                </c:pt>
                <c:pt idx="2">
                  <c:v>24</c:v>
                </c:pt>
                <c:pt idx="3">
                  <c:v>26.666666666666668</c:v>
                </c:pt>
                <c:pt idx="4">
                  <c:v>4.333333333333333</c:v>
                </c:pt>
                <c:pt idx="5">
                  <c:v>1.3333333333333333</c:v>
                </c:pt>
                <c:pt idx="6">
                  <c:v>5</c:v>
                </c:pt>
                <c:pt idx="7">
                  <c:v>25.333333333333332</c:v>
                </c:pt>
                <c:pt idx="8">
                  <c:v>7.333333333333333</c:v>
                </c:pt>
                <c:pt idx="9">
                  <c:v>11.666666666666666</c:v>
                </c:pt>
                <c:pt idx="10">
                  <c:v>9.6666666666666661</c:v>
                </c:pt>
                <c:pt idx="11">
                  <c:v>4</c:v>
                </c:pt>
              </c:numCache>
            </c:numRef>
          </c:xVal>
          <c:yVal>
            <c:numRef>
              <c:f>'EDA LL'!$D$36:$D$47</c:f>
              <c:numCache>
                <c:formatCode>0</c:formatCode>
                <c:ptCount val="12"/>
                <c:pt idx="0">
                  <c:v>-14</c:v>
                </c:pt>
                <c:pt idx="1">
                  <c:v>-5.666666666666667</c:v>
                </c:pt>
                <c:pt idx="2">
                  <c:v>7.666666666666667</c:v>
                </c:pt>
                <c:pt idx="3">
                  <c:v>18.666666666666668</c:v>
                </c:pt>
                <c:pt idx="4">
                  <c:v>-6</c:v>
                </c:pt>
                <c:pt idx="5">
                  <c:v>-8.6666666666666661</c:v>
                </c:pt>
                <c:pt idx="6">
                  <c:v>-9.6666666666666661</c:v>
                </c:pt>
                <c:pt idx="7">
                  <c:v>13.666666666666666</c:v>
                </c:pt>
                <c:pt idx="8">
                  <c:v>3.3333333333333335</c:v>
                </c:pt>
                <c:pt idx="9">
                  <c:v>-2</c:v>
                </c:pt>
                <c:pt idx="10">
                  <c:v>-7</c:v>
                </c:pt>
                <c:pt idx="11">
                  <c:v>0.33333333333333331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'EDA LL'!$B$36:$B$47</c15:f>
                <c15:dlblRangeCache>
                  <c:ptCount val="12"/>
                  <c:pt idx="0">
                    <c:v> Alavés</c:v>
                  </c:pt>
                  <c:pt idx="1">
                    <c:v> Athletic Club</c:v>
                  </c:pt>
                  <c:pt idx="2">
                    <c:v> Atlético Madrid</c:v>
                  </c:pt>
                  <c:pt idx="3">
                    <c:v> Barcelona</c:v>
                  </c:pt>
                  <c:pt idx="4">
                    <c:v> Betis</c:v>
                  </c:pt>
                  <c:pt idx="5">
                    <c:v> Celta Vigo</c:v>
                  </c:pt>
                  <c:pt idx="6">
                    <c:v> Getafe</c:v>
                  </c:pt>
                  <c:pt idx="7">
                    <c:v> Real Madrid</c:v>
                  </c:pt>
                  <c:pt idx="8">
                    <c:v> Real Sociedad</c:v>
                  </c:pt>
                  <c:pt idx="9">
                    <c:v> Sevilla</c:v>
                  </c:pt>
                  <c:pt idx="10">
                    <c:v> Valencia</c:v>
                  </c:pt>
                  <c:pt idx="11">
                    <c:v> Villarreal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E-5104-5649-A5D0-E0EBAF061D1A}"/>
            </c:ext>
          </c:extLst>
        </c:ser>
        <c:dLbls>
          <c:dLblPos val="r"/>
          <c:showLegendKey val="0"/>
          <c:showVal val="1"/>
          <c:showCatName val="1"/>
          <c:showSerName val="0"/>
          <c:showPercent val="0"/>
          <c:showBubbleSize val="0"/>
        </c:dLbls>
        <c:axId val="1943927232"/>
        <c:axId val="2053687936"/>
      </c:scatterChart>
      <c:valAx>
        <c:axId val="19439272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Verdana" panose="020B0604030504040204" pitchFamily="34" charset="0"/>
                  </a:defRPr>
                </a:pPr>
                <a:r>
                  <a:rPr lang="en-US"/>
                  <a:t>Average Home GD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Verdana" panose="020B0604030504040204" pitchFamily="34" charset="0"/>
                </a:defRPr>
              </a:pPr>
              <a:endParaRPr lang="en-US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endParaRPr lang="en-US"/>
          </a:p>
        </c:txPr>
        <c:crossAx val="2053687936"/>
        <c:crosses val="autoZero"/>
        <c:crossBetween val="midCat"/>
      </c:valAx>
      <c:valAx>
        <c:axId val="20536879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Verdana" panose="020B0604030504040204" pitchFamily="34" charset="0"/>
                  </a:defRPr>
                </a:pPr>
                <a:r>
                  <a:rPr lang="en-US"/>
                  <a:t>Average Away GD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Verdana" panose="020B0604030504040204" pitchFamily="34" charset="0"/>
                </a:defRPr>
              </a:pPr>
              <a:endParaRPr lang="en-US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endParaRPr lang="en-US"/>
          </a:p>
        </c:txPr>
        <c:crossAx val="1943927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Verdana" panose="020B0604030504040204" pitchFamily="34" charset="0"/>
          <a:ea typeface="Verdana" panose="020B0604030504040204" pitchFamily="34" charset="0"/>
          <a:cs typeface="Verdana" panose="020B060403050404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r>
              <a:rPr lang="en-US" b="1"/>
              <a:t>La Liga </a:t>
            </a:r>
            <a:r>
              <a:rPr lang="en-US"/>
              <a:t>Average Home GD vs Attendance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0440C12F-127A-E049-AD4E-1266EE0F2F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7654-5341-BF1D-35AC1AAB2D1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09E9042-A497-8045-9707-82567ED13E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7654-5341-BF1D-35AC1AAB2D1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3BD5146-0C5E-A04E-AD68-313822BE7F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7654-5341-BF1D-35AC1AAB2D1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00D33CC-B1FD-FA46-AEDA-5EECCB163F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7654-5341-BF1D-35AC1AAB2D1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369B2C6-E4F1-AF47-84CC-44A6B8810C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7654-5341-BF1D-35AC1AAB2D1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D484F505-FC6F-A942-991F-E94A3E2863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7654-5341-BF1D-35AC1AAB2D17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646FBA3-8987-314D-8E55-9B18122F98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7654-5341-BF1D-35AC1AAB2D17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46DF2987-1A92-A841-A85B-916221BF80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7654-5341-BF1D-35AC1AAB2D1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27B6ED62-7010-9549-90BD-5661E95E42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7654-5341-BF1D-35AC1AAB2D17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DB81493F-FF1D-1D4B-9E62-BB6A9E070C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7654-5341-BF1D-35AC1AAB2D17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9E18ACE1-65FB-6A41-90E1-2FC8AE5A146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7654-5341-BF1D-35AC1AAB2D17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6C6E68A2-14E9-1240-AD64-491B1E6484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7654-5341-BF1D-35AC1AAB2D1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Verdana" panose="020B0604030504040204" pitchFamily="34" charset="0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'EDA LL'!$H$36:$H$47</c:f>
              <c:numCache>
                <c:formatCode>0</c:formatCode>
                <c:ptCount val="12"/>
                <c:pt idx="0">
                  <c:v>0</c:v>
                </c:pt>
                <c:pt idx="1">
                  <c:v>13.666666666666666</c:v>
                </c:pt>
                <c:pt idx="2">
                  <c:v>24</c:v>
                </c:pt>
                <c:pt idx="3">
                  <c:v>26.666666666666668</c:v>
                </c:pt>
                <c:pt idx="4">
                  <c:v>4.333333333333333</c:v>
                </c:pt>
                <c:pt idx="5">
                  <c:v>1.3333333333333333</c:v>
                </c:pt>
                <c:pt idx="6">
                  <c:v>5</c:v>
                </c:pt>
                <c:pt idx="7">
                  <c:v>25.333333333333332</c:v>
                </c:pt>
                <c:pt idx="8">
                  <c:v>7.333333333333333</c:v>
                </c:pt>
                <c:pt idx="9">
                  <c:v>11.666666666666666</c:v>
                </c:pt>
                <c:pt idx="10">
                  <c:v>9.6666666666666661</c:v>
                </c:pt>
                <c:pt idx="11">
                  <c:v>4</c:v>
                </c:pt>
              </c:numCache>
            </c:numRef>
          </c:xVal>
          <c:yVal>
            <c:numRef>
              <c:f>'EDA LL'!$I$36:$I$47</c:f>
              <c:numCache>
                <c:formatCode>0</c:formatCode>
                <c:ptCount val="12"/>
                <c:pt idx="0">
                  <c:v>17343</c:v>
                </c:pt>
                <c:pt idx="1">
                  <c:v>43388</c:v>
                </c:pt>
                <c:pt idx="2">
                  <c:v>57668.5</c:v>
                </c:pt>
                <c:pt idx="3">
                  <c:v>57975</c:v>
                </c:pt>
                <c:pt idx="4">
                  <c:v>47892</c:v>
                </c:pt>
                <c:pt idx="5">
                  <c:v>12577.666666666666</c:v>
                </c:pt>
                <c:pt idx="6">
                  <c:v>11228</c:v>
                </c:pt>
                <c:pt idx="7">
                  <c:v>66550.5</c:v>
                </c:pt>
                <c:pt idx="8">
                  <c:v>27010</c:v>
                </c:pt>
                <c:pt idx="9">
                  <c:v>35488.5</c:v>
                </c:pt>
                <c:pt idx="10">
                  <c:v>27688.666666666668</c:v>
                </c:pt>
                <c:pt idx="11">
                  <c:v>11647.333333333334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'EDA LL'!$G$36:$G$47</c15:f>
                <c15:dlblRangeCache>
                  <c:ptCount val="12"/>
                  <c:pt idx="0">
                    <c:v> Alavés</c:v>
                  </c:pt>
                  <c:pt idx="1">
                    <c:v> Athletic Club</c:v>
                  </c:pt>
                  <c:pt idx="2">
                    <c:v> Atlético Madrid</c:v>
                  </c:pt>
                  <c:pt idx="3">
                    <c:v> Barcelona</c:v>
                  </c:pt>
                  <c:pt idx="4">
                    <c:v> Betis</c:v>
                  </c:pt>
                  <c:pt idx="5">
                    <c:v> Celta Vigo</c:v>
                  </c:pt>
                  <c:pt idx="6">
                    <c:v> Getafe</c:v>
                  </c:pt>
                  <c:pt idx="7">
                    <c:v> Real Madrid</c:v>
                  </c:pt>
                  <c:pt idx="8">
                    <c:v> Real Sociedad</c:v>
                  </c:pt>
                  <c:pt idx="9">
                    <c:v> Sevilla</c:v>
                  </c:pt>
                  <c:pt idx="10">
                    <c:v> Valencia</c:v>
                  </c:pt>
                  <c:pt idx="11">
                    <c:v> Villarreal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D-7654-5341-BF1D-35AC1AAB2D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1032512"/>
        <c:axId val="1943923648"/>
      </c:scatterChart>
      <c:valAx>
        <c:axId val="19510325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Verdana" panose="020B0604030504040204" pitchFamily="34" charset="0"/>
                  </a:defRPr>
                </a:pPr>
                <a:r>
                  <a:rPr lang="en-US"/>
                  <a:t>Average Home GD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Verdana" panose="020B0604030504040204" pitchFamily="34" charset="0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endParaRPr lang="en-US"/>
          </a:p>
        </c:txPr>
        <c:crossAx val="1943923648"/>
        <c:crosses val="autoZero"/>
        <c:crossBetween val="midCat"/>
      </c:valAx>
      <c:valAx>
        <c:axId val="19439236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Verdana" panose="020B0604030504040204" pitchFamily="34" charset="0"/>
                  </a:defRPr>
                </a:pPr>
                <a:r>
                  <a:rPr lang="en-US"/>
                  <a:t>Average Home Attendance</a:t>
                </a:r>
              </a:p>
            </c:rich>
          </c:tx>
          <c:layout>
            <c:manualLayout>
              <c:xMode val="edge"/>
              <c:yMode val="edge"/>
              <c:x val="1.0398613518197574E-2"/>
              <c:y val="0.301789224178744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Verdana" panose="020B0604030504040204" pitchFamily="34" charset="0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endParaRPr lang="en-US"/>
          </a:p>
        </c:txPr>
        <c:crossAx val="1951032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Verdana" panose="020B0604030504040204" pitchFamily="34" charset="0"/>
          <a:ea typeface="Verdana" panose="020B0604030504040204" pitchFamily="34" charset="0"/>
          <a:cs typeface="Verdana" panose="020B060403050404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chemeClr val="tx1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r>
              <a:rPr lang="en-US" sz="1000" b="1"/>
              <a:t>La Liga </a:t>
            </a:r>
            <a:r>
              <a:rPr lang="en-US" sz="1000" b="0" i="0" u="none" strike="noStrike" baseline="0"/>
              <a:t>Average Home Pts/MP by Season</a:t>
            </a:r>
            <a:endParaRPr lang="en-US" sz="1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'EDA LL'!$O$11</c:f>
              <c:strCache>
                <c:ptCount val="1"/>
                <c:pt idx="0">
                  <c:v>Average Home Pts/MP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'EDA LL'!$N$12:$N$14</c:f>
              <c:strCache>
                <c:ptCount val="3"/>
                <c:pt idx="0">
                  <c:v>2018-19</c:v>
                </c:pt>
                <c:pt idx="1">
                  <c:v>2020-21</c:v>
                </c:pt>
                <c:pt idx="2">
                  <c:v>2023-24</c:v>
                </c:pt>
              </c:strCache>
            </c:strRef>
          </c:cat>
          <c:val>
            <c:numRef>
              <c:f>'EDA LL'!$O$12:$O$14</c:f>
              <c:numCache>
                <c:formatCode>0.00</c:formatCode>
                <c:ptCount val="3"/>
                <c:pt idx="0">
                  <c:v>1.8166666666666664</c:v>
                </c:pt>
                <c:pt idx="1">
                  <c:v>1.7891666666666666</c:v>
                </c:pt>
                <c:pt idx="2" formatCode="General">
                  <c:v>1.82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60-3B43-991B-7AEF0D8730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606207"/>
        <c:axId val="1915720064"/>
      </c:lineChart>
      <c:catAx>
        <c:axId val="306062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Verdana" panose="020B0604030504040204" pitchFamily="34" charset="0"/>
                  </a:defRPr>
                </a:pPr>
                <a:r>
                  <a:rPr lang="en-US"/>
                  <a:t>Season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Verdana" panose="020B060403050404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endParaRPr lang="en-US"/>
          </a:p>
        </c:txPr>
        <c:crossAx val="1915720064"/>
        <c:crosses val="autoZero"/>
        <c:auto val="1"/>
        <c:lblAlgn val="ctr"/>
        <c:lblOffset val="100"/>
        <c:noMultiLvlLbl val="0"/>
      </c:catAx>
      <c:valAx>
        <c:axId val="1915720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Verdana" panose="020B0604030504040204" pitchFamily="34" charset="0"/>
                  </a:defRPr>
                </a:pPr>
                <a:r>
                  <a:rPr lang="en-US"/>
                  <a:t>Average Pts/MP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Verdana" panose="020B0604030504040204" pitchFamily="34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endParaRPr lang="en-US"/>
          </a:p>
        </c:txPr>
        <c:crossAx val="30606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solidFill>
            <a:schemeClr val="tx1"/>
          </a:solidFill>
          <a:latin typeface="Verdana" panose="020B0604030504040204" pitchFamily="34" charset="0"/>
          <a:ea typeface="Verdana" panose="020B0604030504040204" pitchFamily="34" charset="0"/>
          <a:cs typeface="Verdana" panose="020B060403050404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r>
              <a:rPr lang="en-US" b="1"/>
              <a:t>Premier League </a:t>
            </a:r>
            <a:r>
              <a:rPr lang="en-US"/>
              <a:t>Average Home vs. Away Goal Differential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D2BE957C-3503-DB46-A9DB-E883A30D8F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9C8C-B249-A8DD-DE7F5A603DE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DAC7156-80ED-A94E-AB6F-0C455AFEF3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9C8C-B249-A8DD-DE7F5A603DE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F1F396F-97FA-1E4C-8614-9709ADC407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9C8C-B249-A8DD-DE7F5A603DE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2454254-6C83-4F49-B73E-AAB58EC4FE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9C8C-B249-A8DD-DE7F5A603DE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CF17F4F-5D1F-5C42-AF2F-F90CFE9D03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9C8C-B249-A8DD-DE7F5A603DE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F36A9B2-0D5D-1244-AC44-1D3A188E8E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9C8C-B249-A8DD-DE7F5A603DE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3D0CCD21-2A41-9845-A15E-83255612C1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9C8C-B249-A8DD-DE7F5A603DE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2C5A6542-BBA1-BB44-B15E-2A5FC63751C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9C8C-B249-A8DD-DE7F5A603DE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10A8BD41-CE88-E04E-A9EC-887A82567E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9C8C-B249-A8DD-DE7F5A603DEE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D5E0CF6F-A75C-BF40-B2D4-BF5196C059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9C8C-B249-A8DD-DE7F5A603DEE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9517DC34-A4CE-824C-995A-FF36CFBE25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9C8C-B249-A8DD-DE7F5A603DEE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6088FD7F-8360-F740-84AA-CBF964F021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9C8C-B249-A8DD-DE7F5A603DEE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EEF678FC-AB1E-1040-BB0E-9217A05860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9C8C-B249-A8DD-DE7F5A603DEE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C9F62372-E138-A244-AFB5-6882B5DDD5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9C8C-B249-A8DD-DE7F5A603DE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Verdana" panose="020B0604030504040204" pitchFamily="34" charset="0"/>
                  </a:defRPr>
                </a:pPr>
                <a:endParaRPr lang="en-US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'EDA PL'!$C$38:$C$51</c:f>
              <c:numCache>
                <c:formatCode>0</c:formatCode>
                <c:ptCount val="14"/>
                <c:pt idx="0">
                  <c:v>20.333333333333332</c:v>
                </c:pt>
                <c:pt idx="1">
                  <c:v>-2</c:v>
                </c:pt>
                <c:pt idx="2">
                  <c:v>-15</c:v>
                </c:pt>
                <c:pt idx="3">
                  <c:v>19.333333333333332</c:v>
                </c:pt>
                <c:pt idx="4">
                  <c:v>-1.6666666666666667</c:v>
                </c:pt>
                <c:pt idx="5">
                  <c:v>3</c:v>
                </c:pt>
                <c:pt idx="6">
                  <c:v>-8.6666666666666661</c:v>
                </c:pt>
                <c:pt idx="7">
                  <c:v>28.666666666666668</c:v>
                </c:pt>
                <c:pt idx="8">
                  <c:v>35.333333333333336</c:v>
                </c:pt>
                <c:pt idx="9">
                  <c:v>7</c:v>
                </c:pt>
                <c:pt idx="10">
                  <c:v>6.333333333333333</c:v>
                </c:pt>
                <c:pt idx="11">
                  <c:v>14.666666666666666</c:v>
                </c:pt>
                <c:pt idx="12">
                  <c:v>6</c:v>
                </c:pt>
                <c:pt idx="13">
                  <c:v>-0.33333333333333331</c:v>
                </c:pt>
              </c:numCache>
            </c:numRef>
          </c:xVal>
          <c:yVal>
            <c:numRef>
              <c:f>'EDA PL'!$D$38:$D$51</c:f>
              <c:numCache>
                <c:formatCode>0</c:formatCode>
                <c:ptCount val="14"/>
                <c:pt idx="0">
                  <c:v>13</c:v>
                </c:pt>
                <c:pt idx="1">
                  <c:v>-10.666666666666666</c:v>
                </c:pt>
                <c:pt idx="2">
                  <c:v>-12.333333333333334</c:v>
                </c:pt>
                <c:pt idx="3">
                  <c:v>0.66666666666666663</c:v>
                </c:pt>
                <c:pt idx="4">
                  <c:v>-7.666666666666667</c:v>
                </c:pt>
                <c:pt idx="5">
                  <c:v>-4.333333333333333</c:v>
                </c:pt>
                <c:pt idx="6">
                  <c:v>-17.666666666666668</c:v>
                </c:pt>
                <c:pt idx="7">
                  <c:v>17.333333333333332</c:v>
                </c:pt>
                <c:pt idx="8">
                  <c:v>26.333333333333332</c:v>
                </c:pt>
                <c:pt idx="9">
                  <c:v>6</c:v>
                </c:pt>
                <c:pt idx="10">
                  <c:v>-6</c:v>
                </c:pt>
                <c:pt idx="11">
                  <c:v>6.666666666666667</c:v>
                </c:pt>
                <c:pt idx="12">
                  <c:v>-6.666666666666667</c:v>
                </c:pt>
                <c:pt idx="13">
                  <c:v>-9.6666666666666661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'EDA PL'!$B$38:$B$51</c15:f>
                <c15:dlblRangeCache>
                  <c:ptCount val="14"/>
                  <c:pt idx="0">
                    <c:v> Arsenal</c:v>
                  </c:pt>
                  <c:pt idx="1">
                    <c:v> Brighton</c:v>
                  </c:pt>
                  <c:pt idx="2">
                    <c:v> Burnley</c:v>
                  </c:pt>
                  <c:pt idx="3">
                    <c:v> Chelsea</c:v>
                  </c:pt>
                  <c:pt idx="4">
                    <c:v> Crystal Palace</c:v>
                  </c:pt>
                  <c:pt idx="5">
                    <c:v> Everton</c:v>
                  </c:pt>
                  <c:pt idx="6">
                    <c:v> Fulham</c:v>
                  </c:pt>
                  <c:pt idx="7">
                    <c:v> Liverpool</c:v>
                  </c:pt>
                  <c:pt idx="8">
                    <c:v> Manchester City</c:v>
                  </c:pt>
                  <c:pt idx="9">
                    <c:v> Manchester Utd</c:v>
                  </c:pt>
                  <c:pt idx="10">
                    <c:v> Newcastle Utd</c:v>
                  </c:pt>
                  <c:pt idx="11">
                    <c:v> Tottenham</c:v>
                  </c:pt>
                  <c:pt idx="12">
                    <c:v> West Ham</c:v>
                  </c:pt>
                  <c:pt idx="13">
                    <c:v> Wolves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F-9C8C-B249-A8DD-DE7F5A603DEE}"/>
            </c:ext>
          </c:extLst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axId val="2034345152"/>
        <c:axId val="1981833536"/>
      </c:scatterChart>
      <c:valAx>
        <c:axId val="20343451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Verdana" panose="020B0604030504040204" pitchFamily="34" charset="0"/>
                  </a:defRPr>
                </a:pPr>
                <a:r>
                  <a:rPr lang="en-US"/>
                  <a:t>Average Home GD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Verdana" panose="020B0604030504040204" pitchFamily="34" charset="0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endParaRPr lang="en-US"/>
          </a:p>
        </c:txPr>
        <c:crossAx val="1981833536"/>
        <c:crosses val="autoZero"/>
        <c:crossBetween val="midCat"/>
      </c:valAx>
      <c:valAx>
        <c:axId val="19818335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Verdana" panose="020B0604030504040204" pitchFamily="34" charset="0"/>
                  </a:defRPr>
                </a:pPr>
                <a:r>
                  <a:rPr lang="en-US"/>
                  <a:t>Average Away GD</a:t>
                </a:r>
              </a:p>
            </c:rich>
          </c:tx>
          <c:layout>
            <c:manualLayout>
              <c:xMode val="edge"/>
              <c:yMode val="edge"/>
              <c:x val="1.0555968451230248E-2"/>
              <c:y val="0.330685438673193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Verdana" panose="020B0604030504040204" pitchFamily="34" charset="0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endParaRPr lang="en-US"/>
          </a:p>
        </c:txPr>
        <c:crossAx val="2034345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Verdana" panose="020B0604030504040204" pitchFamily="34" charset="0"/>
          <a:ea typeface="Verdana" panose="020B0604030504040204" pitchFamily="34" charset="0"/>
          <a:cs typeface="Verdana" panose="020B060403050404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r>
              <a:rPr lang="en-US" b="1"/>
              <a:t>Premier League</a:t>
            </a:r>
            <a:r>
              <a:rPr lang="en-US" b="0"/>
              <a:t> </a:t>
            </a:r>
            <a:r>
              <a:rPr lang="en-US" sz="960" b="0" i="0" u="none" strike="noStrike" baseline="0"/>
              <a:t>Average Home GD vs. Attendance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885C5C9E-0EA7-1A46-A15A-442C77774D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54C1-CC4E-940F-03DF38F3BB8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212A953-0D37-4A49-9DC5-F20FF544EC0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54C1-CC4E-940F-03DF38F3BB8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6EC9768-4703-ED4C-90B6-9EB1F79A381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54C1-CC4E-940F-03DF38F3BB8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A38CA8B-D47A-5740-A396-C32A7DE6E3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54C1-CC4E-940F-03DF38F3BB8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90C9B9F-D1F5-DA45-9310-F89E0F5027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54C1-CC4E-940F-03DF38F3BB8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C9CEB240-6FAF-E746-8228-A60F9EC9E7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54C1-CC4E-940F-03DF38F3BB8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D043004-3A85-5546-986E-0044E6A605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54C1-CC4E-940F-03DF38F3BB8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22D1E6AE-5F70-A846-9D89-1E2263A1E6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54C1-CC4E-940F-03DF38F3BB8B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14A276E5-1E57-914C-A18E-7026450A32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54C1-CC4E-940F-03DF38F3BB8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1C25193F-F4F0-6849-900B-E583B15502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54C1-CC4E-940F-03DF38F3BB8B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CBC91F7B-6784-9443-9E7A-463D0E3D3C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54C1-CC4E-940F-03DF38F3BB8B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FE5CD417-C934-8F40-BD88-3C8D2EEA01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54C1-CC4E-940F-03DF38F3BB8B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C4927192-B005-7346-B804-14B1B56B4F7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54C1-CC4E-940F-03DF38F3BB8B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2DF8ADAA-7DDA-E841-9713-58794AA131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54C1-CC4E-940F-03DF38F3BB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Verdana" panose="020B0604030504040204" pitchFamily="34" charset="0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'EDA PL'!$G$38:$G$51</c:f>
              <c:numCache>
                <c:formatCode>0</c:formatCode>
                <c:ptCount val="14"/>
                <c:pt idx="0">
                  <c:v>20.333333333333332</c:v>
                </c:pt>
                <c:pt idx="1">
                  <c:v>-2</c:v>
                </c:pt>
                <c:pt idx="2">
                  <c:v>-15</c:v>
                </c:pt>
                <c:pt idx="3">
                  <c:v>19.333333333333332</c:v>
                </c:pt>
                <c:pt idx="4">
                  <c:v>-1.6666666666666667</c:v>
                </c:pt>
                <c:pt idx="5">
                  <c:v>3</c:v>
                </c:pt>
                <c:pt idx="6">
                  <c:v>-8.6666666666666661</c:v>
                </c:pt>
                <c:pt idx="7">
                  <c:v>28.666666666666668</c:v>
                </c:pt>
                <c:pt idx="8">
                  <c:v>35.333333333333336</c:v>
                </c:pt>
                <c:pt idx="9">
                  <c:v>7</c:v>
                </c:pt>
                <c:pt idx="10">
                  <c:v>6.333333333333333</c:v>
                </c:pt>
                <c:pt idx="11">
                  <c:v>14.666666666666666</c:v>
                </c:pt>
                <c:pt idx="12">
                  <c:v>6</c:v>
                </c:pt>
                <c:pt idx="13">
                  <c:v>-0.33333333333333331</c:v>
                </c:pt>
              </c:numCache>
            </c:numRef>
          </c:xVal>
          <c:yVal>
            <c:numRef>
              <c:f>'EDA PL'!$H$38:$H$51</c:f>
              <c:numCache>
                <c:formatCode>0</c:formatCode>
                <c:ptCount val="14"/>
                <c:pt idx="0">
                  <c:v>40255.666666666664</c:v>
                </c:pt>
                <c:pt idx="1">
                  <c:v>21195.666666666668</c:v>
                </c:pt>
                <c:pt idx="2">
                  <c:v>13965.333333333334</c:v>
                </c:pt>
                <c:pt idx="3">
                  <c:v>26829</c:v>
                </c:pt>
                <c:pt idx="4">
                  <c:v>16944.666666666668</c:v>
                </c:pt>
                <c:pt idx="5">
                  <c:v>26151</c:v>
                </c:pt>
                <c:pt idx="6">
                  <c:v>16294.666666666666</c:v>
                </c:pt>
                <c:pt idx="7">
                  <c:v>36599.666666666664</c:v>
                </c:pt>
                <c:pt idx="8">
                  <c:v>35889.333333333336</c:v>
                </c:pt>
                <c:pt idx="9">
                  <c:v>49519</c:v>
                </c:pt>
                <c:pt idx="10">
                  <c:v>34590.666666666664</c:v>
                </c:pt>
                <c:pt idx="11">
                  <c:v>38776.666666666664</c:v>
                </c:pt>
                <c:pt idx="12">
                  <c:v>40511.666666666664</c:v>
                </c:pt>
                <c:pt idx="13">
                  <c:v>20765.333333333332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'EDA PL'!$F$38:$F$51</c15:f>
                <c15:dlblRangeCache>
                  <c:ptCount val="14"/>
                  <c:pt idx="0">
                    <c:v> Arsenal</c:v>
                  </c:pt>
                  <c:pt idx="1">
                    <c:v> Brighton</c:v>
                  </c:pt>
                  <c:pt idx="2">
                    <c:v> Burnley</c:v>
                  </c:pt>
                  <c:pt idx="3">
                    <c:v> Chelsea</c:v>
                  </c:pt>
                  <c:pt idx="4">
                    <c:v> Crystal Palace</c:v>
                  </c:pt>
                  <c:pt idx="5">
                    <c:v> Everton</c:v>
                  </c:pt>
                  <c:pt idx="6">
                    <c:v> Fulham</c:v>
                  </c:pt>
                  <c:pt idx="7">
                    <c:v> Liverpool</c:v>
                  </c:pt>
                  <c:pt idx="8">
                    <c:v> Manchester City</c:v>
                  </c:pt>
                  <c:pt idx="9">
                    <c:v> Manchester Utd</c:v>
                  </c:pt>
                  <c:pt idx="10">
                    <c:v> Newcastle Utd</c:v>
                  </c:pt>
                  <c:pt idx="11">
                    <c:v> Tottenham</c:v>
                  </c:pt>
                  <c:pt idx="12">
                    <c:v> West Ham</c:v>
                  </c:pt>
                  <c:pt idx="13">
                    <c:v> Wolves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F-54C1-CC4E-940F-03DF38F3BB8B}"/>
            </c:ext>
          </c:extLst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axId val="1923395840"/>
        <c:axId val="1943913344"/>
      </c:scatterChart>
      <c:valAx>
        <c:axId val="1923395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Verdana" panose="020B0604030504040204" pitchFamily="34" charset="0"/>
                  </a:defRPr>
                </a:pPr>
                <a:r>
                  <a:rPr lang="en-US"/>
                  <a:t>Average Home GD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Verdana" panose="020B0604030504040204" pitchFamily="34" charset="0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endParaRPr lang="en-US"/>
          </a:p>
        </c:txPr>
        <c:crossAx val="1943913344"/>
        <c:crosses val="autoZero"/>
        <c:crossBetween val="midCat"/>
      </c:valAx>
      <c:valAx>
        <c:axId val="19439133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Verdana" panose="020B0604030504040204" pitchFamily="34" charset="0"/>
                  </a:defRPr>
                </a:pPr>
                <a:r>
                  <a:rPr lang="en-US"/>
                  <a:t>Average Attendance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Verdana" panose="020B0604030504040204" pitchFamily="34" charset="0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endParaRPr lang="en-US"/>
          </a:p>
        </c:txPr>
        <c:crossAx val="1923395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Verdana" panose="020B0604030504040204" pitchFamily="34" charset="0"/>
          <a:ea typeface="Verdana" panose="020B0604030504040204" pitchFamily="34" charset="0"/>
          <a:cs typeface="Verdana" panose="020B060403050404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r>
              <a:rPr lang="en-US" b="1"/>
              <a:t>Premier League </a:t>
            </a:r>
            <a:r>
              <a:rPr lang="en-US"/>
              <a:t>Average Home Pts/MP by Season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'EDA PL'!$O$11</c:f>
              <c:strCache>
                <c:ptCount val="1"/>
                <c:pt idx="0">
                  <c:v>Average Home Pts/MP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'EDA PL'!$N$12:$N$14</c:f>
              <c:strCache>
                <c:ptCount val="3"/>
                <c:pt idx="0">
                  <c:v>2018-19</c:v>
                </c:pt>
                <c:pt idx="1">
                  <c:v>2020-21</c:v>
                </c:pt>
                <c:pt idx="2">
                  <c:v>2023-24</c:v>
                </c:pt>
              </c:strCache>
            </c:strRef>
          </c:cat>
          <c:val>
            <c:numRef>
              <c:f>'EDA PL'!$O$12:$O$14</c:f>
              <c:numCache>
                <c:formatCode>0.00</c:formatCode>
                <c:ptCount val="3"/>
                <c:pt idx="0">
                  <c:v>1.8007142857142855</c:v>
                </c:pt>
                <c:pt idx="1">
                  <c:v>1.4114285714285713</c:v>
                </c:pt>
                <c:pt idx="2">
                  <c:v>1.7750000000000001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9B-314D-8671-32725D091D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7715008"/>
        <c:axId val="1914423936"/>
      </c:lineChart>
      <c:catAx>
        <c:axId val="1937715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Verdana" panose="020B0604030504040204" pitchFamily="34" charset="0"/>
                  </a:defRPr>
                </a:pPr>
                <a:r>
                  <a:rPr lang="en-US"/>
                  <a:t>Season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Verdana" panose="020B060403050404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endParaRPr lang="en-US"/>
          </a:p>
        </c:txPr>
        <c:crossAx val="1914423936"/>
        <c:crosses val="autoZero"/>
        <c:auto val="1"/>
        <c:lblAlgn val="ctr"/>
        <c:lblOffset val="100"/>
        <c:noMultiLvlLbl val="0"/>
      </c:catAx>
      <c:valAx>
        <c:axId val="1914423936"/>
        <c:scaling>
          <c:orientation val="minMax"/>
          <c:max val="2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Verdana" panose="020B0604030504040204" pitchFamily="34" charset="0"/>
                  </a:defRPr>
                </a:pPr>
                <a:r>
                  <a:rPr lang="en-US"/>
                  <a:t>Averaeg Pts/MP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Verdana" panose="020B0604030504040204" pitchFamily="34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endParaRPr lang="en-US"/>
          </a:p>
        </c:txPr>
        <c:crossAx val="1937715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Verdana" panose="020B0604030504040204" pitchFamily="34" charset="0"/>
          <a:ea typeface="Verdana" panose="020B0604030504040204" pitchFamily="34" charset="0"/>
          <a:cs typeface="Verdana" panose="020B060403050404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</cx:f>
      </cx:numDim>
    </cx:data>
    <cx:data id="1">
      <cx:numDim type="val">
        <cx:f>_xlchart.v1.15</cx:f>
      </cx:numDim>
    </cx:data>
    <cx:data id="2">
      <cx:numDim type="val">
        <cx:f>_xlchart.v1.17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sz="100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r>
              <a:rPr lang="en-US" sz="1000" b="1" i="0" u="none" strike="noStrike" baseline="0">
                <a:solidFill>
                  <a:sysClr val="windowText" lastClr="000000"/>
                </a:solidFill>
                <a:effectLst/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rPr>
              <a:t>La Liga</a:t>
            </a:r>
            <a:r>
              <a:rPr lang="en-US" sz="1000" b="0" i="0" u="none" strike="noStrike" baseline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rPr>
              <a:t> Average Home Game Attendance by Season</a:t>
            </a:r>
            <a:endParaRPr lang="en-US" sz="1000" b="1" i="0" u="none" strike="noStrike" baseline="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endParaRPr>
          </a:p>
        </cx:rich>
      </cx:tx>
    </cx:title>
    <cx:plotArea>
      <cx:plotAreaRegion>
        <cx:series layoutId="boxWhisker" uniqueId="{5247CF28-1225-5940-855A-8D6E1FC54705}">
          <cx:tx>
            <cx:txData>
              <cx:f>_xlchart.v1.12</cx:f>
              <cx:v>2018-19</cx:v>
            </cx:txData>
          </cx:tx>
          <cx:dataId val="0"/>
          <cx:layoutPr>
            <cx:statistics quartileMethod="exclusive"/>
          </cx:layoutPr>
        </cx:series>
        <cx:series layoutId="boxWhisker" uniqueId="{991AFB6C-14D0-1F4C-966F-3714E82812E7}">
          <cx:tx>
            <cx:txData>
              <cx:f>_xlchart.v1.14</cx:f>
              <cx:v>2020-21</cx:v>
            </cx:txData>
          </cx:tx>
          <cx:dataId val="1"/>
          <cx:layoutPr>
            <cx:statistics quartileMethod="exclusive"/>
          </cx:layoutPr>
        </cx:series>
        <cx:series layoutId="boxWhisker" uniqueId="{A4708389-4CA3-404A-BCF6-23CE427580C2}">
          <cx:tx>
            <cx:txData>
              <cx:f>_xlchart.v1.16</cx:f>
              <cx:v>2023-24</cx:v>
            </cx:txData>
          </cx:tx>
          <cx:dataId val="2"/>
          <cx:layoutPr>
            <cx:statistics quartileMethod="exclusive"/>
          </cx:layoutPr>
        </cx:series>
      </cx:plotAreaRegion>
      <cx:axis id="0" hidden="1">
        <cx:catScaling gapWidth="1"/>
        <cx:title>
          <cx:tx>
            <cx:txData>
              <cx:v>Season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000">
                  <a:solidFill>
                    <a:sysClr val="windowText" lastClr="000000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Verdana" panose="020B0604030504040204" pitchFamily="34" charset="0"/>
                </a:defRPr>
              </a:pPr>
              <a:r>
                <a:rPr lang="en-US" sz="1000" b="0" i="0" u="none" strike="noStrike" baseline="0">
                  <a:solidFill>
                    <a:sysClr val="windowText" lastClr="000000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Verdana" panose="020B0604030504040204" pitchFamily="34" charset="0"/>
                </a:rPr>
                <a:t>Season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000" b="0" i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endParaRPr lang="en-US" sz="100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endParaRPr>
          </a:p>
        </cx:txPr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000">
                    <a:solidFill>
                      <a:sysClr val="windowText" lastClr="000000"/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Verdana" panose="020B0604030504040204" pitchFamily="34" charset="0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Verdana" panose="020B0604030504040204" pitchFamily="34" charset="0"/>
                  </a:rPr>
                  <a:t>Home Attendance</a:t>
                </a:r>
                <a:endParaRPr lang="en-US" sz="1000" b="0" i="0" u="none" strike="noStrike" baseline="0">
                  <a:solidFill>
                    <a:sysClr val="windowText" lastClr="000000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Verdana" panose="020B0604030504040204" pitchFamily="34" charset="0"/>
                </a:endParaRPr>
              </a:p>
            </cx:rich>
          </cx:tx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000" b="0" i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endParaRPr lang="en-US" sz="100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endParaRPr>
          </a:p>
        </cx:txPr>
      </cx:axis>
    </cx:plotArea>
    <cx:legend pos="r" align="ctr" overlay="0">
      <cx:txPr>
        <a:bodyPr vertOverflow="overflow" horzOverflow="overflow" wrap="square" lIns="0" tIns="0" rIns="0" bIns="0"/>
        <a:lstStyle/>
        <a:p>
          <a:pPr algn="ctr" rtl="0">
            <a:defRPr sz="1000" b="0" i="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defRPr>
          </a:pPr>
          <a:endParaRPr lang="en-US" sz="1000">
            <a:solidFill>
              <a:sysClr val="windowText" lastClr="000000"/>
            </a:solidFill>
            <a:latin typeface="Verdana" panose="020B0604030504040204" pitchFamily="34" charset="0"/>
            <a:ea typeface="Verdana" panose="020B0604030504040204" pitchFamily="34" charset="0"/>
            <a:cs typeface="Verdana" panose="020B0604030504040204" pitchFamily="34" charset="0"/>
          </a:endParaRPr>
        </a:p>
      </cx:txPr>
    </cx:legend>
  </cx:chart>
  <cx:spPr>
    <a:noFill/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  <cx:data id="1">
      <cx:numDim type="val">
        <cx:f>_xlchart.v1.9</cx:f>
      </cx:numDim>
    </cx:data>
    <cx:data id="2">
      <cx:numDim type="val">
        <cx:f>_xlchart.v1.11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sz="100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r>
              <a:rPr lang="en-US" sz="1000" b="1" i="0" u="none" strike="noStrike" baseline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rPr>
              <a:t>La Liga </a:t>
            </a:r>
            <a:r>
              <a:rPr lang="en-US" sz="1000" b="0" i="0" u="none" strike="noStrike" baseline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rPr>
              <a:t>Home Goal Differential by Season</a:t>
            </a:r>
          </a:p>
        </cx:rich>
      </cx:tx>
    </cx:title>
    <cx:plotArea>
      <cx:plotAreaRegion>
        <cx:series layoutId="boxWhisker" uniqueId="{458684AB-31FE-124B-BB4B-6A21787710F5}">
          <cx:tx>
            <cx:txData>
              <cx:f>_xlchart.v1.6</cx:f>
              <cx:v>2018-19</cx:v>
            </cx:txData>
          </cx:tx>
          <cx:dataId val="0"/>
          <cx:layoutPr>
            <cx:visibility meanLine="0" meanMarker="1" nonoutliers="1" outliers="1"/>
            <cx:statistics quartileMethod="exclusive"/>
          </cx:layoutPr>
        </cx:series>
        <cx:series layoutId="boxWhisker" uniqueId="{A26C9A3F-91C0-9943-8168-9D2F55104807}">
          <cx:tx>
            <cx:txData>
              <cx:f>_xlchart.v1.8</cx:f>
              <cx:v>2020-21</cx:v>
            </cx:txData>
          </cx:tx>
          <cx:dataId val="1"/>
          <cx:layoutPr>
            <cx:visibility meanLine="0" meanMarker="1" nonoutliers="1" outliers="1"/>
            <cx:statistics quartileMethod="exclusive"/>
          </cx:layoutPr>
        </cx:series>
        <cx:series layoutId="boxWhisker" uniqueId="{065A055F-C68D-5E47-83A0-87D4328AD9C6}">
          <cx:tx>
            <cx:txData>
              <cx:f>_xlchart.v1.10</cx:f>
              <cx:v>2023-24</cx:v>
            </cx:txData>
          </cx:tx>
          <cx:dataId val="2"/>
          <cx:layoutPr>
            <cx:visibility meanLine="0" meanMarker="1" nonoutliers="1" outliers="1"/>
            <cx:statistics quartileMethod="exclusive"/>
          </cx:layoutPr>
        </cx:series>
      </cx:plotAreaRegion>
      <cx:axis id="0" hidden="1">
        <cx:catScaling gapWidth="1"/>
        <cx:title>
          <cx:tx>
            <cx:txData>
              <cx:v>Season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000">
                  <a:solidFill>
                    <a:sysClr val="windowText" lastClr="000000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Verdana" panose="020B0604030504040204" pitchFamily="34" charset="0"/>
                </a:defRPr>
              </a:pPr>
              <a:r>
                <a:rPr lang="en-US" sz="1000" b="0" i="0" u="none" strike="noStrike" baseline="0">
                  <a:solidFill>
                    <a:sysClr val="windowText" lastClr="000000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Verdana" panose="020B0604030504040204" pitchFamily="34" charset="0"/>
                </a:rPr>
                <a:t>Season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000" b="0" i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endParaRPr lang="en-US" sz="100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endParaRPr>
          </a:p>
        </cx:txPr>
      </cx:axis>
      <cx:axis id="1">
        <cx:valScaling min="-30"/>
        <cx:title>
          <cx:tx>
            <cx:txData>
              <cx:v>Home GD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000">
                  <a:solidFill>
                    <a:sysClr val="windowText" lastClr="000000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Verdana" panose="020B0604030504040204" pitchFamily="34" charset="0"/>
                </a:defRPr>
              </a:pPr>
              <a:r>
                <a:rPr lang="en-US" sz="1000" b="0" i="0" u="none" strike="noStrike" baseline="0">
                  <a:solidFill>
                    <a:sysClr val="windowText" lastClr="000000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Verdana" panose="020B0604030504040204" pitchFamily="34" charset="0"/>
                </a:rPr>
                <a:t>Home GD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000" b="0" i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endParaRPr lang="en-US" sz="100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endParaRPr>
          </a:p>
        </cx:txPr>
      </cx:axis>
    </cx:plotArea>
    <cx:legend pos="r" align="ctr" overlay="0">
      <cx:txPr>
        <a:bodyPr vertOverflow="overflow" horzOverflow="overflow" wrap="square" lIns="0" tIns="0" rIns="0" bIns="0"/>
        <a:lstStyle/>
        <a:p>
          <a:pPr algn="ctr" rtl="0">
            <a:defRPr sz="1000" b="0" i="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defRPr>
          </a:pPr>
          <a:endParaRPr lang="en-US" sz="1000">
            <a:solidFill>
              <a:sysClr val="windowText" lastClr="000000"/>
            </a:solidFill>
            <a:latin typeface="Verdana" panose="020B0604030504040204" pitchFamily="34" charset="0"/>
            <a:ea typeface="Verdana" panose="020B0604030504040204" pitchFamily="34" charset="0"/>
            <a:cs typeface="Verdana" panose="020B0604030504040204" pitchFamily="34" charset="0"/>
          </a:endParaRPr>
        </a:p>
      </cx:txPr>
    </cx:legend>
  </cx:chart>
  <cx:spPr>
    <a:noFill/>
  </cx:spPr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sz="100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r>
              <a:rPr lang="en-US" sz="1000" b="1" i="0" u="none" strike="noStrike" baseline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rPr>
              <a:t>La Liga</a:t>
            </a:r>
            <a:r>
              <a:rPr lang="en-US" sz="1000" b="0" i="0" u="none" strike="noStrike" baseline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rPr>
              <a:t> Home Win Percentage by Season</a:t>
            </a:r>
            <a:endParaRPr lang="en-US" sz="1000" b="1" i="0" u="none" strike="noStrike" baseline="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endParaRPr>
          </a:p>
        </cx:rich>
      </cx:tx>
    </cx:title>
    <cx:plotArea>
      <cx:plotAreaRegion>
        <cx:series layoutId="boxWhisker" uniqueId="{9E75C64A-19E5-024C-B8C6-757F44C0C26E}">
          <cx:tx>
            <cx:txData>
              <cx:f>_xlchart.v1.0</cx:f>
              <cx:v>2018-19</cx:v>
            </cx:txData>
          </cx:tx>
          <cx:dataId val="0"/>
          <cx:layoutPr>
            <cx:visibility meanLine="0" meanMarker="1" nonoutliers="1" outliers="1"/>
            <cx:statistics quartileMethod="exclusive"/>
          </cx:layoutPr>
        </cx:series>
        <cx:series layoutId="boxWhisker" uniqueId="{7D3D247A-8018-E44D-832A-BC389BA60315}">
          <cx:tx>
            <cx:txData>
              <cx:f>_xlchart.v1.2</cx:f>
              <cx:v>2020-21</cx:v>
            </cx:txData>
          </cx:tx>
          <cx:dataId val="1"/>
          <cx:layoutPr>
            <cx:visibility meanLine="0" meanMarker="1" nonoutliers="1" outliers="1"/>
            <cx:statistics quartileMethod="exclusive"/>
          </cx:layoutPr>
        </cx:series>
        <cx:series layoutId="boxWhisker" uniqueId="{676B3CAF-64EE-564C-A8B0-7DB380951B49}">
          <cx:tx>
            <cx:txData>
              <cx:f>_xlchart.v1.4</cx:f>
              <cx:v>2023-24</cx:v>
            </cx:txData>
          </cx:tx>
          <cx:dataId val="2"/>
          <cx:layoutPr>
            <cx:visibility meanLine="0" meanMarker="1" nonoutliers="1" outliers="1"/>
            <cx:statistics quartileMethod="exclusive"/>
          </cx:layoutPr>
        </cx:series>
      </cx:plotAreaRegion>
      <cx:axis id="0" hidden="1">
        <cx:catScaling gapWidth="1"/>
        <cx:title>
          <cx:tx>
            <cx:txData>
              <cx:v>Season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000">
                  <a:solidFill>
                    <a:sysClr val="windowText" lastClr="000000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Verdana" panose="020B0604030504040204" pitchFamily="34" charset="0"/>
                </a:defRPr>
              </a:pPr>
              <a:r>
                <a:rPr lang="en-US" sz="1000" b="0" i="0" u="none" strike="noStrike" baseline="0">
                  <a:solidFill>
                    <a:sysClr val="windowText" lastClr="000000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Verdana" panose="020B0604030504040204" pitchFamily="34" charset="0"/>
                </a:rPr>
                <a:t>Season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000" b="0" i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endParaRPr lang="en-US" sz="100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endParaRPr>
          </a:p>
        </cx:txPr>
      </cx:axis>
      <cx:axis id="1">
        <cx:valScaling max="1" min="0"/>
        <cx:title>
          <cx:tx>
            <cx:txData>
              <cx:v>Home WP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000">
                  <a:solidFill>
                    <a:sysClr val="windowText" lastClr="000000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Verdana" panose="020B0604030504040204" pitchFamily="34" charset="0"/>
                </a:defRPr>
              </a:pPr>
              <a:r>
                <a:rPr lang="en-US" sz="1000" b="0" i="0" u="none" strike="noStrike" baseline="0">
                  <a:solidFill>
                    <a:sysClr val="windowText" lastClr="000000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Verdana" panose="020B0604030504040204" pitchFamily="34" charset="0"/>
                </a:rPr>
                <a:t>Home WP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000" b="0" i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endParaRPr lang="en-US" sz="100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endParaRPr>
          </a:p>
        </cx:txPr>
      </cx:axis>
    </cx:plotArea>
    <cx:legend pos="r" align="ctr" overlay="0">
      <cx:txPr>
        <a:bodyPr vertOverflow="overflow" horzOverflow="overflow" wrap="square" lIns="0" tIns="0" rIns="0" bIns="0"/>
        <a:lstStyle/>
        <a:p>
          <a:pPr algn="ctr" rtl="0">
            <a:defRPr sz="1000" b="0" i="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defRPr>
          </a:pPr>
          <a:endParaRPr lang="en-US" sz="1000">
            <a:solidFill>
              <a:sysClr val="windowText" lastClr="000000"/>
            </a:solidFill>
            <a:latin typeface="Verdana" panose="020B0604030504040204" pitchFamily="34" charset="0"/>
            <a:ea typeface="Verdana" panose="020B0604030504040204" pitchFamily="34" charset="0"/>
            <a:cs typeface="Verdana" panose="020B0604030504040204" pitchFamily="34" charset="0"/>
          </a:endParaRPr>
        </a:p>
      </cx:txPr>
    </cx:legend>
  </cx:chart>
  <cx:spPr>
    <a:noFill/>
  </cx:spPr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_xlchart.v1.25</cx:f>
      </cx:numDim>
    </cx:data>
    <cx:data id="1">
      <cx:numDim type="val">
        <cx:f>_xlchart.v1.27</cx:f>
      </cx:numDim>
    </cx:data>
    <cx:data id="2">
      <cx:numDim type="val">
        <cx:f>_xlchart.v1.29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sz="100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r>
              <a:rPr lang="en-US" sz="1000" b="1" i="0" u="none" strike="noStrike" baseline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rPr>
              <a:t>Premier League</a:t>
            </a:r>
            <a:r>
              <a:rPr lang="en-US" sz="1000" b="0" i="0" u="none" strike="noStrike" baseline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rPr>
              <a:t> Average Home Attendance by Season</a:t>
            </a:r>
            <a:endParaRPr lang="en-US" sz="1000" b="1" i="0" u="none" strike="noStrike" baseline="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endParaRPr>
          </a:p>
        </cx:rich>
      </cx:tx>
    </cx:title>
    <cx:plotArea>
      <cx:plotAreaRegion>
        <cx:series layoutId="boxWhisker" uniqueId="{9E53E887-8F7F-FD4B-8E66-A012E04B3A98}">
          <cx:tx>
            <cx:txData>
              <cx:f>_xlchart.v1.24</cx:f>
              <cx:v>2018-19</cx:v>
            </cx:txData>
          </cx:tx>
          <cx:dataId val="0"/>
          <cx:layoutPr>
            <cx:visibility meanLine="0" meanMarker="1" nonoutliers="1" outliers="1"/>
            <cx:statistics quartileMethod="exclusive"/>
          </cx:layoutPr>
        </cx:series>
        <cx:series layoutId="boxWhisker" uniqueId="{549B9BDA-591B-5E4A-9926-9F3348CFA936}">
          <cx:tx>
            <cx:txData>
              <cx:f>_xlchart.v1.26</cx:f>
              <cx:v>2020-21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AF2A6FF2-38AC-F041-A645-D1F5A332F202}">
          <cx:tx>
            <cx:txData>
              <cx:f>_xlchart.v1.28</cx:f>
              <cx:v>2023-24</cx:v>
            </cx:txData>
          </cx:tx>
          <cx:dataId val="2"/>
          <cx:layoutPr>
            <cx:visibility meanLine="0" meanMarker="1" nonoutliers="1" outliers="1"/>
            <cx:statistics quartileMethod="exclusive"/>
          </cx:layoutPr>
        </cx:series>
      </cx:plotAreaRegion>
      <cx:axis id="0" hidden="1">
        <cx:catScaling gapWidth="1"/>
        <cx:title>
          <cx:tx>
            <cx:txData>
              <cx:v>Season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000">
                  <a:solidFill>
                    <a:sysClr val="windowText" lastClr="000000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Verdana" panose="020B0604030504040204" pitchFamily="34" charset="0"/>
                </a:defRPr>
              </a:pPr>
              <a:r>
                <a:rPr lang="en-US" sz="1000" b="0" i="0" u="none" strike="noStrike" baseline="0">
                  <a:solidFill>
                    <a:sysClr val="windowText" lastClr="000000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Verdana" panose="020B0604030504040204" pitchFamily="34" charset="0"/>
                </a:rPr>
                <a:t>Season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000" b="0" i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endParaRPr lang="en-US" sz="100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endParaRPr>
          </a:p>
        </cx:txPr>
      </cx:axis>
      <cx:axis id="1">
        <cx:valScaling/>
        <cx:title>
          <cx:tx>
            <cx:txData>
              <cx:v>Home Attendance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000">
                  <a:solidFill>
                    <a:sysClr val="windowText" lastClr="000000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Verdana" panose="020B0604030504040204" pitchFamily="34" charset="0"/>
                </a:defRPr>
              </a:pPr>
              <a:r>
                <a:rPr lang="en-US" sz="1000" b="0" i="0" u="none" strike="noStrike" baseline="0">
                  <a:solidFill>
                    <a:sysClr val="windowText" lastClr="000000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Verdana" panose="020B0604030504040204" pitchFamily="34" charset="0"/>
                </a:rPr>
                <a:t>Home Attendance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000" b="0" i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endParaRPr lang="en-US" sz="100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endParaRPr>
          </a:p>
        </cx:txPr>
      </cx:axis>
    </cx:plotArea>
    <cx:legend pos="r" align="ctr" overlay="0">
      <cx:txPr>
        <a:bodyPr vertOverflow="overflow" horzOverflow="overflow" wrap="square" lIns="0" tIns="0" rIns="0" bIns="0"/>
        <a:lstStyle/>
        <a:p>
          <a:pPr algn="ctr" rtl="0">
            <a:defRPr sz="1000" b="0" i="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defRPr>
          </a:pPr>
          <a:endParaRPr lang="en-US" sz="1000">
            <a:solidFill>
              <a:sysClr val="windowText" lastClr="000000"/>
            </a:solidFill>
            <a:latin typeface="Verdana" panose="020B0604030504040204" pitchFamily="34" charset="0"/>
            <a:ea typeface="Verdana" panose="020B0604030504040204" pitchFamily="34" charset="0"/>
            <a:cs typeface="Verdana" panose="020B0604030504040204" pitchFamily="34" charset="0"/>
          </a:endParaRPr>
        </a:p>
      </cx:txPr>
    </cx:legend>
  </cx:chart>
  <cx:spPr>
    <a:noFill/>
  </cx:spPr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_xlchart.v1.19</cx:f>
      </cx:numDim>
    </cx:data>
    <cx:data id="1">
      <cx:numDim type="val">
        <cx:f>_xlchart.v1.21</cx:f>
      </cx:numDim>
    </cx:data>
    <cx:data id="2">
      <cx:numDim type="val">
        <cx:f>_xlchart.v1.23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sz="100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r>
              <a:rPr lang="en-US" sz="1000" b="1" i="0" u="none" strike="noStrike" baseline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rPr>
              <a:t>Premier League</a:t>
            </a:r>
            <a:r>
              <a:rPr lang="en-US" sz="1000" b="0" i="0" u="none" strike="noStrike" baseline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rPr>
              <a:t> Home Goal Differential by Season</a:t>
            </a:r>
            <a:endParaRPr lang="en-US" sz="1000" b="1" i="0" u="none" strike="noStrike" baseline="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endParaRPr>
          </a:p>
        </cx:rich>
      </cx:tx>
    </cx:title>
    <cx:plotArea>
      <cx:plotAreaRegion>
        <cx:series layoutId="boxWhisker" uniqueId="{9E47D2CB-842F-6B43-A708-64026D3751F0}">
          <cx:tx>
            <cx:txData>
              <cx:f>_xlchart.v1.18</cx:f>
              <cx:v>2018-19</cx:v>
            </cx:txData>
          </cx:tx>
          <cx:dataId val="0"/>
          <cx:layoutPr>
            <cx:visibility meanLine="0" meanMarker="1" nonoutliers="1" outliers="1"/>
            <cx:statistics quartileMethod="exclusive"/>
          </cx:layoutPr>
        </cx:series>
        <cx:series layoutId="boxWhisker" uniqueId="{EE818295-2E94-354C-8432-D45827DC9ECA}">
          <cx:tx>
            <cx:txData>
              <cx:f>_xlchart.v1.20</cx:f>
              <cx:v>2020-21</cx:v>
            </cx:txData>
          </cx:tx>
          <cx:dataId val="1"/>
          <cx:layoutPr>
            <cx:visibility meanLine="0" meanMarker="1" nonoutliers="1" outliers="1"/>
            <cx:statistics quartileMethod="exclusive"/>
          </cx:layoutPr>
        </cx:series>
        <cx:series layoutId="boxWhisker" uniqueId="{DD47CD75-0DFD-2A46-B846-ED9E7C9DF957}">
          <cx:tx>
            <cx:txData>
              <cx:f>_xlchart.v1.22</cx:f>
              <cx:v>2023-24</cx:v>
            </cx:txData>
          </cx:tx>
          <cx:dataId val="2"/>
          <cx:layoutPr>
            <cx:visibility meanLine="0" meanMarker="1" nonoutliers="1" outliers="1"/>
            <cx:statistics quartileMethod="exclusive"/>
          </cx:layoutPr>
        </cx:series>
      </cx:plotAreaRegion>
      <cx:axis id="0" hidden="1">
        <cx:catScaling gapWidth="1.5"/>
        <cx:title>
          <cx:tx>
            <cx:txData>
              <cx:v>Season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000">
                  <a:solidFill>
                    <a:sysClr val="windowText" lastClr="000000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Verdana" panose="020B0604030504040204" pitchFamily="34" charset="0"/>
                </a:defRPr>
              </a:pPr>
              <a:r>
                <a:rPr lang="en-US" sz="1000" b="0" i="0" u="none" strike="noStrike" baseline="0">
                  <a:solidFill>
                    <a:sysClr val="windowText" lastClr="000000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Verdana" panose="020B0604030504040204" pitchFamily="34" charset="0"/>
                </a:rPr>
                <a:t>Season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000" b="0" i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endParaRPr lang="en-US" sz="100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endParaRPr>
          </a:p>
        </cx:txPr>
      </cx:axis>
      <cx:axis id="1">
        <cx:valScaling/>
        <cx:title>
          <cx:tx>
            <cx:txData>
              <cx:v>Home GD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000">
                  <a:solidFill>
                    <a:sysClr val="windowText" lastClr="000000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Verdana" panose="020B0604030504040204" pitchFamily="34" charset="0"/>
                </a:defRPr>
              </a:pPr>
              <a:r>
                <a:rPr lang="en-US" sz="1000" b="0" i="0" u="none" strike="noStrike" baseline="0">
                  <a:solidFill>
                    <a:sysClr val="windowText" lastClr="000000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Verdana" panose="020B0604030504040204" pitchFamily="34" charset="0"/>
                </a:rPr>
                <a:t>Home GD</a:t>
              </a:r>
            </a:p>
          </cx:txPr>
        </cx:title>
        <cx:majorGridlines/>
        <cx:majorTickMarks type="out"/>
        <cx:tickLabels/>
        <cx:txPr>
          <a:bodyPr vertOverflow="overflow" horzOverflow="overflow" wrap="square" lIns="0" tIns="0" rIns="0" bIns="0"/>
          <a:lstStyle/>
          <a:p>
            <a:pPr algn="ctr" rtl="0">
              <a:defRPr sz="1000" b="0" i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endParaRPr lang="en-US" sz="100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endParaRPr>
          </a:p>
        </cx:txPr>
      </cx:axis>
    </cx:plotArea>
    <cx:legend pos="r" align="ctr" overlay="0">
      <cx:txPr>
        <a:bodyPr vertOverflow="overflow" horzOverflow="overflow" wrap="square" lIns="0" tIns="0" rIns="0" bIns="0"/>
        <a:lstStyle/>
        <a:p>
          <a:pPr algn="ctr" rtl="0">
            <a:defRPr sz="1000" b="0" i="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defRPr>
          </a:pPr>
          <a:endParaRPr lang="en-US" sz="1000">
            <a:solidFill>
              <a:sysClr val="windowText" lastClr="000000"/>
            </a:solidFill>
            <a:latin typeface="Verdana" panose="020B0604030504040204" pitchFamily="34" charset="0"/>
            <a:ea typeface="Verdana" panose="020B0604030504040204" pitchFamily="34" charset="0"/>
            <a:cs typeface="Verdana" panose="020B0604030504040204" pitchFamily="34" charset="0"/>
          </a:endParaRPr>
        </a:p>
      </cx:txPr>
    </cx:legend>
  </cx:chart>
  <cx:spPr>
    <a:noFill/>
  </cx:spPr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_xlchart.v1.31</cx:f>
      </cx:numDim>
    </cx:data>
    <cx:data id="1">
      <cx:numDim type="val">
        <cx:f>_xlchart.v1.33</cx:f>
      </cx:numDim>
    </cx:data>
    <cx:data id="2">
      <cx:numDim type="val">
        <cx:f>_xlchart.v1.35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sz="100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r>
              <a:rPr lang="en-US" sz="1000" b="1" i="0" u="none" strike="noStrike" baseline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rPr>
              <a:t>Premier League</a:t>
            </a:r>
            <a:r>
              <a:rPr lang="en-US" sz="1000" b="0" i="0" u="none" strike="noStrike" baseline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rPr>
              <a:t> Home Win Percentage by Season </a:t>
            </a:r>
            <a:endParaRPr lang="en-US" sz="1000" b="1" i="0" u="none" strike="noStrike" baseline="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endParaRPr>
          </a:p>
        </cx:rich>
      </cx:tx>
    </cx:title>
    <cx:plotArea>
      <cx:plotAreaRegion>
        <cx:series layoutId="boxWhisker" uniqueId="{0B22257F-A4ED-B147-9ED8-86EDC149FA75}">
          <cx:tx>
            <cx:txData>
              <cx:f>_xlchart.v1.30</cx:f>
              <cx:v>2018-19</cx:v>
            </cx:txData>
          </cx:tx>
          <cx:dataId val="0"/>
          <cx:layoutPr>
            <cx:visibility meanLine="0" meanMarker="1" nonoutliers="1" outliers="1"/>
            <cx:statistics quartileMethod="exclusive"/>
          </cx:layoutPr>
        </cx:series>
        <cx:series layoutId="boxWhisker" uniqueId="{FC9675ED-58B4-2543-B481-13CC909B8A91}">
          <cx:tx>
            <cx:txData>
              <cx:f>_xlchart.v1.32</cx:f>
              <cx:v>2020-21</cx:v>
            </cx:txData>
          </cx:tx>
          <cx:dataId val="1"/>
          <cx:layoutPr>
            <cx:visibility meanLine="0" meanMarker="1" nonoutliers="1" outliers="1"/>
            <cx:statistics quartileMethod="exclusive"/>
          </cx:layoutPr>
        </cx:series>
        <cx:series layoutId="boxWhisker" uniqueId="{3461E783-DD86-DC4A-AE28-9ADD1AA882A5}">
          <cx:tx>
            <cx:txData>
              <cx:f>_xlchart.v1.34</cx:f>
              <cx:v>2023-24</cx:v>
            </cx:txData>
          </cx:tx>
          <cx:dataId val="2"/>
          <cx:layoutPr>
            <cx:visibility meanLine="0" meanMarker="1" nonoutliers="1" outliers="1"/>
            <cx:statistics quartileMethod="exclusive"/>
          </cx:layoutPr>
        </cx:series>
      </cx:plotAreaRegion>
      <cx:axis id="0" hidden="1">
        <cx:catScaling gapWidth="1.5"/>
        <cx:title>
          <cx:tx>
            <cx:txData>
              <cx:v>Season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000">
                  <a:solidFill>
                    <a:sysClr val="windowText" lastClr="000000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Verdana" panose="020B0604030504040204" pitchFamily="34" charset="0"/>
                </a:defRPr>
              </a:pPr>
              <a:r>
                <a:rPr lang="en-US" sz="1000" b="0" i="0" u="none" strike="noStrike" baseline="0">
                  <a:solidFill>
                    <a:sysClr val="windowText" lastClr="000000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Verdana" panose="020B0604030504040204" pitchFamily="34" charset="0"/>
                </a:rPr>
                <a:t>Season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000" b="0" i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endParaRPr lang="en-US" sz="100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endParaRPr>
          </a:p>
        </cx:txPr>
      </cx:axis>
      <cx:axis id="1">
        <cx:valScaling/>
        <cx:title>
          <cx:tx>
            <cx:txData>
              <cx:v>Home WP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000">
                  <a:solidFill>
                    <a:sysClr val="windowText" lastClr="000000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Verdana" panose="020B0604030504040204" pitchFamily="34" charset="0"/>
                </a:defRPr>
              </a:pPr>
              <a:r>
                <a:rPr lang="en-US" sz="1000" b="0" i="0" u="none" strike="noStrike" baseline="0">
                  <a:solidFill>
                    <a:sysClr val="windowText" lastClr="000000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Verdana" panose="020B0604030504040204" pitchFamily="34" charset="0"/>
                </a:rPr>
                <a:t>Home WP</a:t>
              </a:r>
            </a:p>
          </cx:txPr>
        </cx:title>
        <cx:majorGridlines/>
        <cx:majorTickMarks type="out"/>
        <cx:tickLabels/>
        <cx:txPr>
          <a:bodyPr vertOverflow="overflow" horzOverflow="overflow" wrap="square" lIns="0" tIns="0" rIns="0" bIns="0"/>
          <a:lstStyle/>
          <a:p>
            <a:pPr algn="ctr" rtl="0">
              <a:defRPr sz="1000" b="0" i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endParaRPr lang="en-US" sz="100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endParaRPr>
          </a:p>
        </cx:txPr>
      </cx:axis>
    </cx:plotArea>
    <cx:legend pos="r" align="ctr" overlay="0">
      <cx:txPr>
        <a:bodyPr vertOverflow="overflow" horzOverflow="overflow" wrap="square" lIns="0" tIns="0" rIns="0" bIns="0"/>
        <a:lstStyle/>
        <a:p>
          <a:pPr algn="ctr" rtl="0">
            <a:defRPr sz="1000" b="0" i="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defRPr>
          </a:pPr>
          <a:endParaRPr lang="en-US" sz="1000">
            <a:solidFill>
              <a:sysClr val="windowText" lastClr="000000"/>
            </a:solidFill>
            <a:latin typeface="Verdana" panose="020B0604030504040204" pitchFamily="34" charset="0"/>
            <a:ea typeface="Verdana" panose="020B0604030504040204" pitchFamily="34" charset="0"/>
            <a:cs typeface="Verdana" panose="020B0604030504040204" pitchFamily="34" charset="0"/>
          </a:endParaRPr>
        </a:p>
      </cx:txPr>
    </cx:legend>
  </cx:chart>
  <cx:spPr>
    <a:noFill/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6.xml"/><Relationship Id="rId2" Type="http://schemas.microsoft.com/office/2014/relationships/chartEx" Target="../charts/chartEx5.xml"/><Relationship Id="rId1" Type="http://schemas.microsoft.com/office/2014/relationships/chartEx" Target="../charts/chartEx4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30787</xdr:colOff>
      <xdr:row>19</xdr:row>
      <xdr:rowOff>6350</xdr:rowOff>
    </xdr:from>
    <xdr:to>
      <xdr:col>3</xdr:col>
      <xdr:colOff>1419320</xdr:colOff>
      <xdr:row>32</xdr:row>
      <xdr:rowOff>109104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A876681-C0EB-5D49-9692-2BDC525E537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6287" y="3867150"/>
              <a:ext cx="5249333" cy="274435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31173</xdr:colOff>
      <xdr:row>19</xdr:row>
      <xdr:rowOff>13083</xdr:rowOff>
    </xdr:from>
    <xdr:to>
      <xdr:col>7</xdr:col>
      <xdr:colOff>1419707</xdr:colOff>
      <xdr:row>32</xdr:row>
      <xdr:rowOff>113529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38CCC103-FE3E-2449-B4AE-38201525314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78273" y="3873883"/>
              <a:ext cx="5249334" cy="274204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26888</xdr:colOff>
      <xdr:row>19</xdr:row>
      <xdr:rowOff>2504</xdr:rowOff>
    </xdr:from>
    <xdr:to>
      <xdr:col>11</xdr:col>
      <xdr:colOff>1415421</xdr:colOff>
      <xdr:row>32</xdr:row>
      <xdr:rowOff>104104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0DAFD150-A610-2B4E-8DAB-BE0CBDB84E9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295588" y="3863304"/>
              <a:ext cx="5249333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23719</xdr:colOff>
      <xdr:row>48</xdr:row>
      <xdr:rowOff>24697</xdr:rowOff>
    </xdr:from>
    <xdr:to>
      <xdr:col>4</xdr:col>
      <xdr:colOff>1575829</xdr:colOff>
      <xdr:row>66</xdr:row>
      <xdr:rowOff>178001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11B9255-4C9B-FF44-BDFE-075D56C0FF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34476</xdr:colOff>
      <xdr:row>48</xdr:row>
      <xdr:rowOff>20349</xdr:rowOff>
    </xdr:from>
    <xdr:to>
      <xdr:col>9</xdr:col>
      <xdr:colOff>1571176</xdr:colOff>
      <xdr:row>67</xdr:row>
      <xdr:rowOff>3785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0B303B6-FBFF-BC4F-8455-C977619B09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26494</xdr:colOff>
      <xdr:row>16</xdr:row>
      <xdr:rowOff>21560</xdr:rowOff>
    </xdr:from>
    <xdr:to>
      <xdr:col>16</xdr:col>
      <xdr:colOff>69755</xdr:colOff>
      <xdr:row>34</xdr:row>
      <xdr:rowOff>118694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2D530C3-3607-C349-AB50-948085DD6C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25556</xdr:colOff>
      <xdr:row>21</xdr:row>
      <xdr:rowOff>18021</xdr:rowOff>
    </xdr:from>
    <xdr:to>
      <xdr:col>3</xdr:col>
      <xdr:colOff>1414089</xdr:colOff>
      <xdr:row>34</xdr:row>
      <xdr:rowOff>119621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84853C8-2DE6-DE44-8A2B-5B4C63CDCB6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1056" y="4285221"/>
              <a:ext cx="5249333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30993</xdr:colOff>
      <xdr:row>21</xdr:row>
      <xdr:rowOff>7458</xdr:rowOff>
    </xdr:from>
    <xdr:to>
      <xdr:col>7</xdr:col>
      <xdr:colOff>1419527</xdr:colOff>
      <xdr:row>34</xdr:row>
      <xdr:rowOff>109058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E18BA809-2495-5744-8BBB-35308845C31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78093" y="4274658"/>
              <a:ext cx="5249334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33199</xdr:colOff>
      <xdr:row>21</xdr:row>
      <xdr:rowOff>25194</xdr:rowOff>
    </xdr:from>
    <xdr:to>
      <xdr:col>11</xdr:col>
      <xdr:colOff>1421732</xdr:colOff>
      <xdr:row>34</xdr:row>
      <xdr:rowOff>131379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0908D18B-0104-F74E-A13A-1CF0DB6C7E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301899" y="4292394"/>
              <a:ext cx="5249333" cy="27477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20334</xdr:colOff>
      <xdr:row>53</xdr:row>
      <xdr:rowOff>25788</xdr:rowOff>
    </xdr:from>
    <xdr:to>
      <xdr:col>4</xdr:col>
      <xdr:colOff>1876778</xdr:colOff>
      <xdr:row>73</xdr:row>
      <xdr:rowOff>70555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2E02655-1ABA-4249-821F-9E681B5FBC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44449</xdr:colOff>
      <xdr:row>53</xdr:row>
      <xdr:rowOff>22215</xdr:rowOff>
    </xdr:from>
    <xdr:to>
      <xdr:col>9</xdr:col>
      <xdr:colOff>1025443</xdr:colOff>
      <xdr:row>71</xdr:row>
      <xdr:rowOff>174616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361A69C-15ED-1949-94C1-3985185D91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28249</xdr:colOff>
      <xdr:row>16</xdr:row>
      <xdr:rowOff>23904</xdr:rowOff>
    </xdr:from>
    <xdr:to>
      <xdr:col>16</xdr:col>
      <xdr:colOff>133448</xdr:colOff>
      <xdr:row>35</xdr:row>
      <xdr:rowOff>118904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6CBE409-3D9A-114A-A3BE-E5BE1D3E78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enniferfajardo/Desktop/MBA/DATA/DATASET%20LL%20+PL.xlsx" TargetMode="External"/><Relationship Id="rId1" Type="http://schemas.openxmlformats.org/officeDocument/2006/relationships/externalLinkPath" Target="DATASET%20LL%20+P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w Data"/>
      <sheetName val="Clean Data LL"/>
      <sheetName val="Clean Data PL"/>
      <sheetName val="EDA LL"/>
      <sheetName val="EDA PL"/>
      <sheetName val="Data Dictionary"/>
    </sheetNames>
    <sheetDataSet>
      <sheetData sheetId="0"/>
      <sheetData sheetId="1">
        <row r="8">
          <cell r="H8">
            <v>0</v>
          </cell>
          <cell r="I8">
            <v>-11</v>
          </cell>
          <cell r="P8">
            <v>-4</v>
          </cell>
          <cell r="Q8">
            <v>-17</v>
          </cell>
          <cell r="X8">
            <v>4</v>
          </cell>
          <cell r="Y8">
            <v>-14</v>
          </cell>
        </row>
        <row r="9">
          <cell r="H9">
            <v>7</v>
          </cell>
          <cell r="I9">
            <v>-11</v>
          </cell>
          <cell r="P9">
            <v>10</v>
          </cell>
          <cell r="Q9">
            <v>-6</v>
          </cell>
          <cell r="X9">
            <v>24</v>
          </cell>
          <cell r="Y9">
            <v>0</v>
          </cell>
        </row>
        <row r="10">
          <cell r="H10">
            <v>22</v>
          </cell>
          <cell r="I10">
            <v>4</v>
          </cell>
          <cell r="P10">
            <v>30</v>
          </cell>
          <cell r="Q10">
            <v>12</v>
          </cell>
          <cell r="X10">
            <v>20</v>
          </cell>
          <cell r="Y10">
            <v>7</v>
          </cell>
        </row>
        <row r="11">
          <cell r="H11">
            <v>34</v>
          </cell>
          <cell r="I11">
            <v>20</v>
          </cell>
          <cell r="P11">
            <v>24</v>
          </cell>
          <cell r="Q11">
            <v>23</v>
          </cell>
          <cell r="X11">
            <v>22</v>
          </cell>
          <cell r="Y11">
            <v>13</v>
          </cell>
        </row>
        <row r="12">
          <cell r="H12">
            <v>-1</v>
          </cell>
          <cell r="I12">
            <v>-7</v>
          </cell>
          <cell r="P12">
            <v>6</v>
          </cell>
          <cell r="Q12">
            <v>-6</v>
          </cell>
          <cell r="X12">
            <v>8</v>
          </cell>
          <cell r="Y12">
            <v>-5</v>
          </cell>
        </row>
        <row r="13">
          <cell r="H13">
            <v>6</v>
          </cell>
          <cell r="I13">
            <v>-15</v>
          </cell>
          <cell r="P13">
            <v>0</v>
          </cell>
          <cell r="Q13">
            <v>-2</v>
          </cell>
          <cell r="X13">
            <v>-2</v>
          </cell>
          <cell r="Y13">
            <v>-9</v>
          </cell>
        </row>
        <row r="14">
          <cell r="H14">
            <v>15</v>
          </cell>
          <cell r="I14">
            <v>-2</v>
          </cell>
          <cell r="P14">
            <v>2</v>
          </cell>
          <cell r="Q14">
            <v>-17</v>
          </cell>
          <cell r="X14">
            <v>-2</v>
          </cell>
          <cell r="Y14">
            <v>-10</v>
          </cell>
        </row>
        <row r="15">
          <cell r="H15">
            <v>17</v>
          </cell>
          <cell r="I15">
            <v>0</v>
          </cell>
          <cell r="P15">
            <v>20</v>
          </cell>
          <cell r="Q15">
            <v>19</v>
          </cell>
          <cell r="X15">
            <v>39</v>
          </cell>
          <cell r="Y15">
            <v>22</v>
          </cell>
        </row>
        <row r="16">
          <cell r="H16">
            <v>3</v>
          </cell>
          <cell r="I16">
            <v>-4</v>
          </cell>
          <cell r="P16">
            <v>13</v>
          </cell>
          <cell r="Q16">
            <v>8</v>
          </cell>
          <cell r="X16">
            <v>6</v>
          </cell>
          <cell r="Y16">
            <v>6</v>
          </cell>
        </row>
        <row r="17">
          <cell r="H17">
            <v>19</v>
          </cell>
          <cell r="I17">
            <v>-4</v>
          </cell>
          <cell r="P17">
            <v>16</v>
          </cell>
          <cell r="Q17">
            <v>4</v>
          </cell>
          <cell r="X17">
            <v>0</v>
          </cell>
          <cell r="Y17">
            <v>-6</v>
          </cell>
        </row>
        <row r="18">
          <cell r="H18">
            <v>12</v>
          </cell>
          <cell r="I18">
            <v>4</v>
          </cell>
          <cell r="P18">
            <v>11</v>
          </cell>
          <cell r="Q18">
            <v>-14</v>
          </cell>
          <cell r="X18">
            <v>6</v>
          </cell>
          <cell r="Y18">
            <v>-11</v>
          </cell>
        </row>
        <row r="19">
          <cell r="H19">
            <v>2</v>
          </cell>
          <cell r="I19">
            <v>-5</v>
          </cell>
          <cell r="P19">
            <v>6</v>
          </cell>
          <cell r="Q19">
            <v>10</v>
          </cell>
          <cell r="X19">
            <v>4</v>
          </cell>
          <cell r="Y19">
            <v>-4</v>
          </cell>
        </row>
      </sheetData>
      <sheetData sheetId="2">
        <row r="8">
          <cell r="H8">
            <v>26</v>
          </cell>
          <cell r="I8">
            <v>-4</v>
          </cell>
          <cell r="P8">
            <v>3</v>
          </cell>
          <cell r="Q8">
            <v>13</v>
          </cell>
          <cell r="X8">
            <v>32</v>
          </cell>
          <cell r="Y8">
            <v>30</v>
          </cell>
        </row>
        <row r="9">
          <cell r="H9">
            <v>-9</v>
          </cell>
          <cell r="I9">
            <v>-16</v>
          </cell>
          <cell r="P9">
            <v>0</v>
          </cell>
          <cell r="Q9">
            <v>-6</v>
          </cell>
          <cell r="X9">
            <v>3</v>
          </cell>
          <cell r="Y9">
            <v>-10</v>
          </cell>
        </row>
        <row r="10">
          <cell r="H10">
            <v>-8</v>
          </cell>
          <cell r="I10">
            <v>-15</v>
          </cell>
          <cell r="P10">
            <v>-13</v>
          </cell>
          <cell r="Q10">
            <v>-9</v>
          </cell>
          <cell r="X10">
            <v>-24</v>
          </cell>
          <cell r="Y10">
            <v>-13</v>
          </cell>
        </row>
        <row r="11">
          <cell r="H11">
            <v>27</v>
          </cell>
          <cell r="I11">
            <v>-3</v>
          </cell>
          <cell r="P11">
            <v>13</v>
          </cell>
          <cell r="Q11">
            <v>9</v>
          </cell>
          <cell r="X11">
            <v>18</v>
          </cell>
          <cell r="Y11">
            <v>-4</v>
          </cell>
        </row>
        <row r="12">
          <cell r="H12">
            <v>-4</v>
          </cell>
          <cell r="I12">
            <v>2</v>
          </cell>
          <cell r="P12">
            <v>-12</v>
          </cell>
          <cell r="Q12">
            <v>-13</v>
          </cell>
          <cell r="X12">
            <v>11</v>
          </cell>
          <cell r="Y12">
            <v>-12</v>
          </cell>
        </row>
        <row r="13">
          <cell r="H13">
            <v>9</v>
          </cell>
          <cell r="I13">
            <v>-1</v>
          </cell>
          <cell r="P13">
            <v>-4</v>
          </cell>
          <cell r="Q13">
            <v>3</v>
          </cell>
          <cell r="X13">
            <v>4</v>
          </cell>
          <cell r="Y13">
            <v>-15</v>
          </cell>
        </row>
        <row r="14">
          <cell r="H14">
            <v>-14</v>
          </cell>
          <cell r="I14">
            <v>-33</v>
          </cell>
          <cell r="P14">
            <v>-19</v>
          </cell>
          <cell r="Q14">
            <v>-7</v>
          </cell>
          <cell r="X14">
            <v>7</v>
          </cell>
          <cell r="Y14">
            <v>-13</v>
          </cell>
        </row>
        <row r="15">
          <cell r="H15">
            <v>45</v>
          </cell>
          <cell r="I15">
            <v>22</v>
          </cell>
          <cell r="P15">
            <v>9</v>
          </cell>
          <cell r="Q15">
            <v>17</v>
          </cell>
          <cell r="X15">
            <v>32</v>
          </cell>
          <cell r="Y15">
            <v>13</v>
          </cell>
        </row>
        <row r="16">
          <cell r="H16">
            <v>45</v>
          </cell>
          <cell r="I16">
            <v>27</v>
          </cell>
          <cell r="P16">
            <v>26</v>
          </cell>
          <cell r="Q16">
            <v>25</v>
          </cell>
          <cell r="X16">
            <v>35</v>
          </cell>
          <cell r="Y16">
            <v>27</v>
          </cell>
        </row>
        <row r="17">
          <cell r="H17">
            <v>8</v>
          </cell>
          <cell r="I17">
            <v>3</v>
          </cell>
          <cell r="P17">
            <v>10</v>
          </cell>
          <cell r="Q17">
            <v>19</v>
          </cell>
          <cell r="X17">
            <v>3</v>
          </cell>
          <cell r="Y17">
            <v>-4</v>
          </cell>
        </row>
        <row r="18">
          <cell r="H18">
            <v>-1</v>
          </cell>
          <cell r="I18">
            <v>-5</v>
          </cell>
          <cell r="P18">
            <v>-7</v>
          </cell>
          <cell r="Q18">
            <v>-9</v>
          </cell>
          <cell r="X18">
            <v>27</v>
          </cell>
          <cell r="Y18">
            <v>-4</v>
          </cell>
        </row>
        <row r="19">
          <cell r="H19">
            <v>18</v>
          </cell>
          <cell r="I19">
            <v>10</v>
          </cell>
          <cell r="P19">
            <v>15</v>
          </cell>
          <cell r="Q19">
            <v>8</v>
          </cell>
          <cell r="X19">
            <v>11</v>
          </cell>
          <cell r="Y19">
            <v>2</v>
          </cell>
        </row>
        <row r="20">
          <cell r="H20">
            <v>5</v>
          </cell>
          <cell r="I20">
            <v>-8</v>
          </cell>
          <cell r="P20">
            <v>10</v>
          </cell>
          <cell r="Q20">
            <v>5</v>
          </cell>
          <cell r="X20">
            <v>3</v>
          </cell>
          <cell r="Y20">
            <v>-17</v>
          </cell>
        </row>
        <row r="21">
          <cell r="H21">
            <v>7</v>
          </cell>
          <cell r="I21">
            <v>-6</v>
          </cell>
          <cell r="P21">
            <v>-4</v>
          </cell>
          <cell r="Q21">
            <v>-12</v>
          </cell>
          <cell r="X21">
            <v>-4</v>
          </cell>
          <cell r="Y21">
            <v>-11</v>
          </cell>
        </row>
      </sheetData>
      <sheetData sheetId="3">
        <row r="11">
          <cell r="O11" t="str">
            <v>Average Home Pts/MP</v>
          </cell>
        </row>
        <row r="12">
          <cell r="N12" t="str">
            <v>2018-19</v>
          </cell>
          <cell r="O12">
            <v>1.8166666666666664</v>
          </cell>
        </row>
        <row r="13">
          <cell r="N13" t="str">
            <v>2020-21</v>
          </cell>
          <cell r="O13">
            <v>1.7891666666666666</v>
          </cell>
        </row>
        <row r="14">
          <cell r="N14" t="str">
            <v>2023-24</v>
          </cell>
          <cell r="O14">
            <v>1.82</v>
          </cell>
        </row>
        <row r="36">
          <cell r="B36" t="str">
            <v> Alavés</v>
          </cell>
          <cell r="C36">
            <v>0</v>
          </cell>
          <cell r="D36">
            <v>-14</v>
          </cell>
          <cell r="G36" t="str">
            <v> Alavés</v>
          </cell>
          <cell r="H36">
            <v>0</v>
          </cell>
          <cell r="I36">
            <v>17343</v>
          </cell>
        </row>
        <row r="37">
          <cell r="B37" t="str">
            <v> Athletic Club</v>
          </cell>
          <cell r="C37">
            <v>13.666666666666666</v>
          </cell>
          <cell r="D37">
            <v>-5.666666666666667</v>
          </cell>
          <cell r="G37" t="str">
            <v> Athletic Club</v>
          </cell>
          <cell r="H37">
            <v>13.666666666666666</v>
          </cell>
          <cell r="I37">
            <v>43388</v>
          </cell>
        </row>
        <row r="38">
          <cell r="B38" t="str">
            <v> Atlético Madrid</v>
          </cell>
          <cell r="C38">
            <v>24</v>
          </cell>
          <cell r="D38">
            <v>7.666666666666667</v>
          </cell>
          <cell r="G38" t="str">
            <v> Atlético Madrid</v>
          </cell>
          <cell r="H38">
            <v>24</v>
          </cell>
          <cell r="I38">
            <v>57668.5</v>
          </cell>
        </row>
        <row r="39">
          <cell r="B39" t="str">
            <v> Barcelona</v>
          </cell>
          <cell r="C39">
            <v>26.666666666666668</v>
          </cell>
          <cell r="D39">
            <v>18.666666666666668</v>
          </cell>
          <cell r="G39" t="str">
            <v> Barcelona</v>
          </cell>
          <cell r="H39">
            <v>26.666666666666668</v>
          </cell>
          <cell r="I39">
            <v>57975</v>
          </cell>
        </row>
        <row r="40">
          <cell r="B40" t="str">
            <v> Betis</v>
          </cell>
          <cell r="C40">
            <v>4.333333333333333</v>
          </cell>
          <cell r="D40">
            <v>-6</v>
          </cell>
          <cell r="G40" t="str">
            <v> Betis</v>
          </cell>
          <cell r="H40">
            <v>4.333333333333333</v>
          </cell>
          <cell r="I40">
            <v>47892</v>
          </cell>
        </row>
        <row r="41">
          <cell r="B41" t="str">
            <v> Celta Vigo</v>
          </cell>
          <cell r="C41">
            <v>1.3333333333333333</v>
          </cell>
          <cell r="D41">
            <v>-8.6666666666666661</v>
          </cell>
          <cell r="G41" t="str">
            <v> Celta Vigo</v>
          </cell>
          <cell r="H41">
            <v>1.3333333333333333</v>
          </cell>
          <cell r="I41">
            <v>12577.666666666666</v>
          </cell>
        </row>
        <row r="42">
          <cell r="B42" t="str">
            <v> Getafe</v>
          </cell>
          <cell r="C42">
            <v>5</v>
          </cell>
          <cell r="D42">
            <v>-9.6666666666666661</v>
          </cell>
          <cell r="G42" t="str">
            <v> Getafe</v>
          </cell>
          <cell r="H42">
            <v>5</v>
          </cell>
          <cell r="I42">
            <v>11228</v>
          </cell>
        </row>
        <row r="43">
          <cell r="B43" t="str">
            <v> Real Madrid</v>
          </cell>
          <cell r="C43">
            <v>25.333333333333332</v>
          </cell>
          <cell r="D43">
            <v>13.666666666666666</v>
          </cell>
          <cell r="G43" t="str">
            <v> Real Madrid</v>
          </cell>
          <cell r="H43">
            <v>25.333333333333332</v>
          </cell>
          <cell r="I43">
            <v>66550.5</v>
          </cell>
        </row>
        <row r="44">
          <cell r="B44" t="str">
            <v> Real Sociedad</v>
          </cell>
          <cell r="C44">
            <v>7.333333333333333</v>
          </cell>
          <cell r="D44">
            <v>3.3333333333333335</v>
          </cell>
          <cell r="G44" t="str">
            <v> Real Sociedad</v>
          </cell>
          <cell r="H44">
            <v>7.333333333333333</v>
          </cell>
          <cell r="I44">
            <v>27010</v>
          </cell>
        </row>
        <row r="45">
          <cell r="B45" t="str">
            <v> Sevilla</v>
          </cell>
          <cell r="C45">
            <v>11.666666666666666</v>
          </cell>
          <cell r="D45">
            <v>-2</v>
          </cell>
          <cell r="G45" t="str">
            <v> Sevilla</v>
          </cell>
          <cell r="H45">
            <v>11.666666666666666</v>
          </cell>
          <cell r="I45">
            <v>35488.5</v>
          </cell>
        </row>
        <row r="46">
          <cell r="B46" t="str">
            <v> Valencia</v>
          </cell>
          <cell r="C46">
            <v>9.6666666666666661</v>
          </cell>
          <cell r="D46">
            <v>-7</v>
          </cell>
          <cell r="G46" t="str">
            <v> Valencia</v>
          </cell>
          <cell r="H46">
            <v>9.6666666666666661</v>
          </cell>
          <cell r="I46">
            <v>27688.666666666668</v>
          </cell>
        </row>
        <row r="47">
          <cell r="B47" t="str">
            <v> Villarreal</v>
          </cell>
          <cell r="C47">
            <v>4</v>
          </cell>
          <cell r="D47">
            <v>0.33333333333333331</v>
          </cell>
          <cell r="G47" t="str">
            <v> Villarreal</v>
          </cell>
          <cell r="H47">
            <v>4</v>
          </cell>
          <cell r="I47">
            <v>11647.333333333334</v>
          </cell>
        </row>
      </sheetData>
      <sheetData sheetId="4">
        <row r="11">
          <cell r="O11" t="str">
            <v>Average Home Pts/MP</v>
          </cell>
        </row>
        <row r="12">
          <cell r="N12" t="str">
            <v>2018-19</v>
          </cell>
          <cell r="O12">
            <v>1.8007142857142855</v>
          </cell>
        </row>
        <row r="13">
          <cell r="N13" t="str">
            <v>2020-21</v>
          </cell>
          <cell r="O13">
            <v>1.4114285714285713</v>
          </cell>
        </row>
        <row r="14">
          <cell r="N14" t="str">
            <v>2023-24</v>
          </cell>
          <cell r="O14">
            <v>1.7750000000000001</v>
          </cell>
        </row>
        <row r="38">
          <cell r="B38" t="str">
            <v> Arsenal</v>
          </cell>
          <cell r="C38">
            <v>20.333333333333332</v>
          </cell>
          <cell r="D38">
            <v>13</v>
          </cell>
          <cell r="F38" t="str">
            <v> Arsenal</v>
          </cell>
          <cell r="G38">
            <v>20.333333333333332</v>
          </cell>
          <cell r="H38">
            <v>40255.666666666664</v>
          </cell>
        </row>
        <row r="39">
          <cell r="B39" t="str">
            <v> Brighton</v>
          </cell>
          <cell r="C39">
            <v>-2</v>
          </cell>
          <cell r="D39">
            <v>-10.666666666666666</v>
          </cell>
          <cell r="F39" t="str">
            <v> Brighton</v>
          </cell>
          <cell r="G39">
            <v>-2</v>
          </cell>
          <cell r="H39">
            <v>21195.666666666668</v>
          </cell>
        </row>
        <row r="40">
          <cell r="B40" t="str">
            <v> Burnley</v>
          </cell>
          <cell r="C40">
            <v>-15</v>
          </cell>
          <cell r="D40">
            <v>-12.333333333333334</v>
          </cell>
          <cell r="F40" t="str">
            <v> Burnley</v>
          </cell>
          <cell r="G40">
            <v>-15</v>
          </cell>
          <cell r="H40">
            <v>13965.333333333334</v>
          </cell>
        </row>
        <row r="41">
          <cell r="B41" t="str">
            <v> Chelsea</v>
          </cell>
          <cell r="C41">
            <v>19.333333333333332</v>
          </cell>
          <cell r="D41">
            <v>0.66666666666666663</v>
          </cell>
          <cell r="F41" t="str">
            <v> Chelsea</v>
          </cell>
          <cell r="G41">
            <v>19.333333333333332</v>
          </cell>
          <cell r="H41">
            <v>26829</v>
          </cell>
        </row>
        <row r="42">
          <cell r="B42" t="str">
            <v> Crystal Palace</v>
          </cell>
          <cell r="C42">
            <v>-1.6666666666666667</v>
          </cell>
          <cell r="D42">
            <v>-7.666666666666667</v>
          </cell>
          <cell r="F42" t="str">
            <v> Crystal Palace</v>
          </cell>
          <cell r="G42">
            <v>-1.6666666666666667</v>
          </cell>
          <cell r="H42">
            <v>16944.666666666668</v>
          </cell>
        </row>
        <row r="43">
          <cell r="B43" t="str">
            <v> Everton</v>
          </cell>
          <cell r="C43">
            <v>3</v>
          </cell>
          <cell r="D43">
            <v>-4.333333333333333</v>
          </cell>
          <cell r="F43" t="str">
            <v> Everton</v>
          </cell>
          <cell r="G43">
            <v>3</v>
          </cell>
          <cell r="H43">
            <v>26151</v>
          </cell>
        </row>
        <row r="44">
          <cell r="B44" t="str">
            <v> Fulham</v>
          </cell>
          <cell r="C44">
            <v>-8.6666666666666661</v>
          </cell>
          <cell r="D44">
            <v>-17.666666666666668</v>
          </cell>
          <cell r="F44" t="str">
            <v> Fulham</v>
          </cell>
          <cell r="G44">
            <v>-8.6666666666666661</v>
          </cell>
          <cell r="H44">
            <v>16294.666666666666</v>
          </cell>
        </row>
        <row r="45">
          <cell r="B45" t="str">
            <v> Liverpool</v>
          </cell>
          <cell r="C45">
            <v>28.666666666666668</v>
          </cell>
          <cell r="D45">
            <v>17.333333333333332</v>
          </cell>
          <cell r="F45" t="str">
            <v> Liverpool</v>
          </cell>
          <cell r="G45">
            <v>28.666666666666668</v>
          </cell>
          <cell r="H45">
            <v>36599.666666666664</v>
          </cell>
        </row>
        <row r="46">
          <cell r="B46" t="str">
            <v> Manchester City</v>
          </cell>
          <cell r="C46">
            <v>35.333333333333336</v>
          </cell>
          <cell r="D46">
            <v>26.333333333333332</v>
          </cell>
          <cell r="F46" t="str">
            <v> Manchester City</v>
          </cell>
          <cell r="G46">
            <v>35.333333333333336</v>
          </cell>
          <cell r="H46">
            <v>35889.333333333336</v>
          </cell>
        </row>
        <row r="47">
          <cell r="B47" t="str">
            <v> Manchester Utd</v>
          </cell>
          <cell r="C47">
            <v>7</v>
          </cell>
          <cell r="D47">
            <v>6</v>
          </cell>
          <cell r="F47" t="str">
            <v> Manchester Utd</v>
          </cell>
          <cell r="G47">
            <v>7</v>
          </cell>
          <cell r="H47">
            <v>49519</v>
          </cell>
        </row>
        <row r="48">
          <cell r="B48" t="str">
            <v> Newcastle Utd</v>
          </cell>
          <cell r="C48">
            <v>6.333333333333333</v>
          </cell>
          <cell r="D48">
            <v>-6</v>
          </cell>
          <cell r="F48" t="str">
            <v> Newcastle Utd</v>
          </cell>
          <cell r="G48">
            <v>6.333333333333333</v>
          </cell>
          <cell r="H48">
            <v>34590.666666666664</v>
          </cell>
        </row>
        <row r="49">
          <cell r="B49" t="str">
            <v> Tottenham</v>
          </cell>
          <cell r="C49">
            <v>14.666666666666666</v>
          </cell>
          <cell r="D49">
            <v>6.666666666666667</v>
          </cell>
          <cell r="F49" t="str">
            <v> Tottenham</v>
          </cell>
          <cell r="G49">
            <v>14.666666666666666</v>
          </cell>
          <cell r="H49">
            <v>38776.666666666664</v>
          </cell>
        </row>
        <row r="50">
          <cell r="B50" t="str">
            <v> West Ham</v>
          </cell>
          <cell r="C50">
            <v>6</v>
          </cell>
          <cell r="D50">
            <v>-6.666666666666667</v>
          </cell>
          <cell r="F50" t="str">
            <v> West Ham</v>
          </cell>
          <cell r="G50">
            <v>6</v>
          </cell>
          <cell r="H50">
            <v>40511.666666666664</v>
          </cell>
        </row>
        <row r="51">
          <cell r="B51" t="str">
            <v> Wolves</v>
          </cell>
          <cell r="C51">
            <v>-0.33333333333333331</v>
          </cell>
          <cell r="D51">
            <v>-9.6666666666666661</v>
          </cell>
          <cell r="F51" t="str">
            <v> Wolves</v>
          </cell>
          <cell r="G51">
            <v>-0.33333333333333331</v>
          </cell>
          <cell r="H51">
            <v>20765.333333333332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D9E95-883B-624D-BDE3-1426D7EED5D0}">
  <dimension ref="B2:T66"/>
  <sheetViews>
    <sheetView showGridLines="0" tabSelected="1" zoomScaleNormal="100" workbookViewId="0"/>
  </sheetViews>
  <sheetFormatPr baseColWidth="10" defaultRowHeight="16" x14ac:dyDescent="0.2"/>
  <cols>
    <col min="1" max="1" width="10.83203125" style="2"/>
    <col min="2" max="16" width="25.33203125" style="2" customWidth="1"/>
    <col min="17" max="20" width="10.83203125" style="2" customWidth="1"/>
    <col min="21" max="16384" width="10.83203125" style="2"/>
  </cols>
  <sheetData>
    <row r="2" spans="2:20" x14ac:dyDescent="0.2">
      <c r="B2" s="1" t="s">
        <v>0</v>
      </c>
      <c r="N2" s="63" t="s">
        <v>42</v>
      </c>
    </row>
    <row r="3" spans="2:20" x14ac:dyDescent="0.2">
      <c r="B3" s="3" t="s">
        <v>1</v>
      </c>
      <c r="N3" s="1" t="s">
        <v>0</v>
      </c>
      <c r="O3" s="3"/>
    </row>
    <row r="4" spans="2:20" x14ac:dyDescent="0.2">
      <c r="P4" s="3"/>
    </row>
    <row r="5" spans="2:20" x14ac:dyDescent="0.2">
      <c r="B5" s="62" t="s">
        <v>2</v>
      </c>
      <c r="C5" s="62"/>
      <c r="D5" s="62"/>
      <c r="F5" s="62" t="s">
        <v>3</v>
      </c>
      <c r="G5" s="62"/>
      <c r="H5" s="62"/>
      <c r="J5" s="62" t="s">
        <v>4</v>
      </c>
      <c r="K5" s="62"/>
      <c r="L5" s="62"/>
      <c r="N5" s="4"/>
      <c r="O5" s="5" t="s">
        <v>5</v>
      </c>
      <c r="P5" s="6" t="s">
        <v>6</v>
      </c>
    </row>
    <row r="6" spans="2:20" x14ac:dyDescent="0.2">
      <c r="B6" s="7" t="s">
        <v>7</v>
      </c>
      <c r="C6" s="8" t="s">
        <v>8</v>
      </c>
      <c r="D6" s="9" t="s">
        <v>9</v>
      </c>
      <c r="F6" s="7" t="s">
        <v>7</v>
      </c>
      <c r="G6" s="8" t="s">
        <v>8</v>
      </c>
      <c r="H6" s="9" t="s">
        <v>9</v>
      </c>
      <c r="J6" s="7" t="s">
        <v>7</v>
      </c>
      <c r="K6" s="8" t="s">
        <v>8</v>
      </c>
      <c r="L6" s="9" t="s">
        <v>9</v>
      </c>
      <c r="N6" s="10" t="s">
        <v>7</v>
      </c>
      <c r="O6" s="11">
        <f>AVERAGE('[1]Clean Data LL'!H8:H19)</f>
        <v>11.333333333333334</v>
      </c>
      <c r="P6" s="12">
        <f>AVERAGE('[1]Clean Data LL'!I8:I19)</f>
        <v>-2.5833333333333335</v>
      </c>
    </row>
    <row r="7" spans="2:20" x14ac:dyDescent="0.2">
      <c r="B7" s="13">
        <v>17295</v>
      </c>
      <c r="C7" s="14"/>
      <c r="D7" s="15">
        <v>17391</v>
      </c>
      <c r="F7" s="16">
        <v>-1</v>
      </c>
      <c r="G7" s="14">
        <v>-4</v>
      </c>
      <c r="H7" s="17">
        <v>-2</v>
      </c>
      <c r="J7" s="18">
        <v>0.36842105263157893</v>
      </c>
      <c r="K7" s="19">
        <v>0.31578947368421051</v>
      </c>
      <c r="L7" s="20">
        <v>0.47368421052631576</v>
      </c>
      <c r="N7" s="21" t="s">
        <v>8</v>
      </c>
      <c r="O7" s="11">
        <f>AVERAGE('[1]Clean Data LL'!P8:P19)</f>
        <v>11.166666666666666</v>
      </c>
      <c r="P7" s="12">
        <f>AVERAGE('[1]Clean Data LL'!Q8:Q19)</f>
        <v>1.1666666666666667</v>
      </c>
    </row>
    <row r="8" spans="2:20" x14ac:dyDescent="0.2">
      <c r="B8" s="13">
        <v>40664</v>
      </c>
      <c r="C8" s="14"/>
      <c r="D8" s="15">
        <v>46112</v>
      </c>
      <c r="F8" s="16">
        <v>0</v>
      </c>
      <c r="G8" s="14">
        <v>0</v>
      </c>
      <c r="H8" s="17">
        <v>-2</v>
      </c>
      <c r="J8" s="18">
        <v>0.47368421052631576</v>
      </c>
      <c r="K8" s="19">
        <v>0.42105263157894735</v>
      </c>
      <c r="L8" s="20">
        <v>0.63157894736842102</v>
      </c>
      <c r="N8" s="22" t="s">
        <v>9</v>
      </c>
      <c r="O8" s="23">
        <f>AVERAGE('[1]Clean Data LL'!X8:X19)</f>
        <v>10.75</v>
      </c>
      <c r="P8" s="24">
        <f>AVERAGE('[1]Clean Data LL'!Y8:Y19)</f>
        <v>-0.91666666666666663</v>
      </c>
    </row>
    <row r="9" spans="2:20" x14ac:dyDescent="0.2">
      <c r="B9" s="13">
        <v>56216</v>
      </c>
      <c r="C9" s="14"/>
      <c r="D9" s="15">
        <v>59121</v>
      </c>
      <c r="F9" s="16">
        <v>2</v>
      </c>
      <c r="G9" s="14">
        <v>2</v>
      </c>
      <c r="H9" s="17">
        <v>0</v>
      </c>
      <c r="J9" s="18">
        <v>0.78947368421052633</v>
      </c>
      <c r="K9" s="19">
        <v>0.78947368421052633</v>
      </c>
      <c r="L9" s="20">
        <v>0.84210526315789469</v>
      </c>
      <c r="N9" s="25"/>
    </row>
    <row r="10" spans="2:20" x14ac:dyDescent="0.2">
      <c r="B10" s="13">
        <v>76104</v>
      </c>
      <c r="C10" s="14"/>
      <c r="D10" s="15">
        <v>39846</v>
      </c>
      <c r="F10" s="16">
        <v>3</v>
      </c>
      <c r="G10" s="14">
        <v>6</v>
      </c>
      <c r="H10" s="17">
        <v>4</v>
      </c>
      <c r="J10" s="18">
        <v>0.78947368421052633</v>
      </c>
      <c r="K10" s="19">
        <v>0.57894736842105265</v>
      </c>
      <c r="L10" s="20">
        <v>0.78947368421052633</v>
      </c>
      <c r="O10" s="26"/>
      <c r="P10" s="26"/>
      <c r="Q10" s="26"/>
      <c r="R10" s="26"/>
      <c r="S10" s="26"/>
      <c r="T10" s="26"/>
    </row>
    <row r="11" spans="2:20" x14ac:dyDescent="0.2">
      <c r="B11" s="13">
        <v>44525</v>
      </c>
      <c r="C11" s="14"/>
      <c r="D11" s="15">
        <v>51259</v>
      </c>
      <c r="F11" s="16">
        <v>6</v>
      </c>
      <c r="G11" s="14">
        <v>6</v>
      </c>
      <c r="H11" s="17">
        <v>4</v>
      </c>
      <c r="J11" s="18">
        <v>0.42105263157894735</v>
      </c>
      <c r="K11" s="19">
        <v>0.52631578947368418</v>
      </c>
      <c r="L11" s="20">
        <v>0.47368421052631576</v>
      </c>
      <c r="N11" s="27"/>
      <c r="O11" s="28" t="s">
        <v>10</v>
      </c>
      <c r="Q11" s="29"/>
      <c r="R11" s="29"/>
      <c r="S11" s="29"/>
      <c r="T11" s="29"/>
    </row>
    <row r="12" spans="2:20" x14ac:dyDescent="0.2">
      <c r="B12" s="13">
        <v>17603</v>
      </c>
      <c r="C12" s="14">
        <v>91</v>
      </c>
      <c r="D12" s="15">
        <v>20039</v>
      </c>
      <c r="F12" s="16">
        <v>7</v>
      </c>
      <c r="G12" s="14">
        <v>10</v>
      </c>
      <c r="H12" s="17">
        <v>6</v>
      </c>
      <c r="J12" s="18">
        <v>0.42105263157894735</v>
      </c>
      <c r="K12" s="19">
        <v>0.47368421052631576</v>
      </c>
      <c r="L12" s="20">
        <v>0.31578947368421051</v>
      </c>
      <c r="N12" s="30" t="s">
        <v>7</v>
      </c>
      <c r="O12" s="31">
        <v>1.8166666666666664</v>
      </c>
      <c r="Q12" s="32"/>
      <c r="R12" s="33"/>
      <c r="S12" s="34"/>
      <c r="T12" s="32"/>
    </row>
    <row r="13" spans="2:20" x14ac:dyDescent="0.2">
      <c r="B13" s="13">
        <v>11000</v>
      </c>
      <c r="C13" s="14"/>
      <c r="D13" s="15">
        <v>11456</v>
      </c>
      <c r="F13" s="16">
        <v>12</v>
      </c>
      <c r="G13" s="14">
        <v>11</v>
      </c>
      <c r="H13" s="17">
        <v>6</v>
      </c>
      <c r="J13" s="18">
        <v>0.57894736842105265</v>
      </c>
      <c r="K13" s="19">
        <v>0.31578947368421051</v>
      </c>
      <c r="L13" s="20">
        <v>0.42105263157894735</v>
      </c>
      <c r="N13" s="35" t="s">
        <v>8</v>
      </c>
      <c r="O13" s="31">
        <v>1.7891666666666666</v>
      </c>
      <c r="Q13" s="32"/>
      <c r="R13" s="33"/>
      <c r="S13" s="34"/>
      <c r="T13" s="32"/>
    </row>
    <row r="14" spans="2:20" x14ac:dyDescent="0.2">
      <c r="B14" s="13">
        <v>61040</v>
      </c>
      <c r="C14" s="14"/>
      <c r="D14" s="15">
        <v>72061</v>
      </c>
      <c r="F14" s="16">
        <v>15</v>
      </c>
      <c r="G14" s="14">
        <v>13</v>
      </c>
      <c r="H14" s="17">
        <v>8</v>
      </c>
      <c r="J14" s="18">
        <v>0.68421052631578949</v>
      </c>
      <c r="K14" s="19">
        <v>0.68421052631578949</v>
      </c>
      <c r="L14" s="20">
        <v>0.84210526315789469</v>
      </c>
      <c r="N14" s="36" t="s">
        <v>9</v>
      </c>
      <c r="O14" s="37">
        <v>1.82</v>
      </c>
      <c r="Q14" s="32"/>
      <c r="R14" s="33"/>
      <c r="S14" s="34"/>
      <c r="T14" s="32"/>
    </row>
    <row r="15" spans="2:20" x14ac:dyDescent="0.2">
      <c r="B15" s="13">
        <v>22310</v>
      </c>
      <c r="C15" s="14"/>
      <c r="D15" s="15">
        <v>31710</v>
      </c>
      <c r="F15" s="16">
        <v>17</v>
      </c>
      <c r="G15" s="14">
        <v>16</v>
      </c>
      <c r="H15" s="17">
        <v>20</v>
      </c>
      <c r="J15" s="18">
        <v>0.36842105263157893</v>
      </c>
      <c r="K15" s="19">
        <v>0.47368421052631576</v>
      </c>
      <c r="L15" s="20">
        <v>0.42105263157894735</v>
      </c>
      <c r="Q15" s="32"/>
      <c r="R15" s="33"/>
      <c r="S15" s="34"/>
      <c r="T15" s="32"/>
    </row>
    <row r="16" spans="2:20" x14ac:dyDescent="0.2">
      <c r="B16" s="13">
        <v>35993</v>
      </c>
      <c r="C16" s="14"/>
      <c r="D16" s="15">
        <v>34984</v>
      </c>
      <c r="F16" s="16">
        <v>19</v>
      </c>
      <c r="G16" s="14">
        <v>20</v>
      </c>
      <c r="H16" s="17">
        <v>22</v>
      </c>
      <c r="J16" s="18">
        <v>0.63157894736842102</v>
      </c>
      <c r="K16" s="19">
        <v>0.73684210526315785</v>
      </c>
      <c r="L16" s="20">
        <v>0.31578947368421051</v>
      </c>
      <c r="N16" s="64" t="s">
        <v>43</v>
      </c>
      <c r="Q16" s="32"/>
      <c r="R16" s="33"/>
      <c r="S16" s="34"/>
      <c r="T16" s="32"/>
    </row>
    <row r="17" spans="2:20" x14ac:dyDescent="0.2">
      <c r="B17" s="13">
        <v>39504</v>
      </c>
      <c r="C17" s="14">
        <v>142</v>
      </c>
      <c r="D17" s="15">
        <v>43420</v>
      </c>
      <c r="F17" s="16">
        <v>22</v>
      </c>
      <c r="G17" s="14">
        <v>24</v>
      </c>
      <c r="H17" s="17">
        <v>24</v>
      </c>
      <c r="J17" s="18">
        <v>0.36842105263157893</v>
      </c>
      <c r="K17" s="19">
        <v>0.42105263157894735</v>
      </c>
      <c r="L17" s="20">
        <v>0.42105263157894735</v>
      </c>
      <c r="Q17" s="32"/>
      <c r="R17" s="33"/>
      <c r="S17" s="34"/>
      <c r="T17" s="32"/>
    </row>
    <row r="18" spans="2:20" x14ac:dyDescent="0.2">
      <c r="B18" s="38">
        <v>16732</v>
      </c>
      <c r="C18" s="39">
        <v>253</v>
      </c>
      <c r="D18" s="40">
        <v>17957</v>
      </c>
      <c r="F18" s="41">
        <v>34</v>
      </c>
      <c r="G18" s="39">
        <v>30</v>
      </c>
      <c r="H18" s="37">
        <v>39</v>
      </c>
      <c r="J18" s="42">
        <v>0.26315789473684209</v>
      </c>
      <c r="K18" s="43">
        <v>0.42105263157894735</v>
      </c>
      <c r="L18" s="44">
        <v>0.36842105263157893</v>
      </c>
      <c r="Q18" s="32"/>
      <c r="R18" s="33"/>
      <c r="S18" s="34"/>
      <c r="T18" s="32"/>
    </row>
    <row r="19" spans="2:20" x14ac:dyDescent="0.2">
      <c r="B19" s="64" t="s">
        <v>44</v>
      </c>
      <c r="D19" s="46"/>
      <c r="F19" s="64" t="s">
        <v>45</v>
      </c>
      <c r="J19" s="64" t="s">
        <v>46</v>
      </c>
      <c r="Q19" s="32"/>
      <c r="R19" s="33"/>
      <c r="S19" s="34"/>
      <c r="T19" s="32"/>
    </row>
    <row r="20" spans="2:20" x14ac:dyDescent="0.2">
      <c r="B20" s="47"/>
      <c r="D20" s="46"/>
      <c r="Q20" s="32"/>
      <c r="R20" s="33"/>
      <c r="S20" s="34"/>
      <c r="T20" s="32"/>
    </row>
    <row r="21" spans="2:20" x14ac:dyDescent="0.2">
      <c r="B21" s="47"/>
      <c r="G21" s="48"/>
      <c r="H21" s="48"/>
      <c r="Q21" s="32"/>
      <c r="R21" s="33"/>
      <c r="S21" s="34"/>
      <c r="T21" s="32"/>
    </row>
    <row r="22" spans="2:20" x14ac:dyDescent="0.2">
      <c r="B22" s="45"/>
      <c r="G22" s="46"/>
      <c r="Q22" s="32"/>
      <c r="R22" s="33"/>
      <c r="S22" s="34"/>
      <c r="T22" s="32"/>
    </row>
    <row r="23" spans="2:20" x14ac:dyDescent="0.2">
      <c r="B23" s="47"/>
      <c r="G23" s="46"/>
      <c r="Q23" s="32"/>
      <c r="R23" s="33"/>
      <c r="S23" s="34"/>
      <c r="T23" s="32"/>
    </row>
    <row r="24" spans="2:20" x14ac:dyDescent="0.2">
      <c r="B24" s="45"/>
      <c r="G24" s="46"/>
      <c r="K24" s="48"/>
      <c r="O24" s="32"/>
      <c r="P24" s="32"/>
      <c r="Q24" s="32"/>
      <c r="R24" s="32"/>
      <c r="S24" s="32"/>
      <c r="T24" s="32"/>
    </row>
    <row r="25" spans="2:20" x14ac:dyDescent="0.2">
      <c r="B25" s="47"/>
      <c r="G25" s="46"/>
    </row>
    <row r="26" spans="2:20" x14ac:dyDescent="0.2">
      <c r="B26" s="45"/>
      <c r="Q26" s="49"/>
      <c r="R26" s="47"/>
      <c r="S26" s="32"/>
      <c r="T26" s="45"/>
    </row>
    <row r="27" spans="2:20" x14ac:dyDescent="0.2">
      <c r="B27" s="45"/>
      <c r="Q27" s="49"/>
      <c r="R27" s="47"/>
      <c r="S27" s="32"/>
      <c r="T27" s="45"/>
    </row>
    <row r="28" spans="2:20" x14ac:dyDescent="0.2">
      <c r="B28" s="47"/>
      <c r="Q28" s="49"/>
      <c r="R28" s="47"/>
      <c r="S28" s="32"/>
      <c r="T28" s="45"/>
    </row>
    <row r="29" spans="2:20" x14ac:dyDescent="0.2">
      <c r="B29" s="45"/>
      <c r="Q29" s="49"/>
      <c r="R29" s="47"/>
      <c r="S29" s="32"/>
      <c r="T29" s="45"/>
    </row>
    <row r="30" spans="2:20" x14ac:dyDescent="0.2">
      <c r="B30" s="47"/>
      <c r="Q30" s="49"/>
      <c r="R30" s="47"/>
      <c r="S30" s="32"/>
      <c r="T30" s="45"/>
    </row>
    <row r="31" spans="2:20" x14ac:dyDescent="0.2">
      <c r="B31" s="45"/>
      <c r="Q31" s="49"/>
      <c r="R31" s="47"/>
      <c r="S31" s="32"/>
      <c r="T31" s="45"/>
    </row>
    <row r="32" spans="2:20" x14ac:dyDescent="0.2">
      <c r="B32" s="47"/>
      <c r="Q32" s="49"/>
      <c r="R32" s="47"/>
      <c r="S32" s="32"/>
      <c r="T32" s="45"/>
    </row>
    <row r="33" spans="2:20" x14ac:dyDescent="0.2">
      <c r="B33" s="47"/>
      <c r="Q33" s="49"/>
      <c r="R33" s="47"/>
      <c r="S33" s="32"/>
      <c r="T33" s="45"/>
    </row>
    <row r="34" spans="2:20" x14ac:dyDescent="0.2">
      <c r="B34" s="47"/>
      <c r="Q34" s="49"/>
      <c r="R34" s="47"/>
      <c r="S34" s="32"/>
      <c r="T34" s="45"/>
    </row>
    <row r="35" spans="2:20" x14ac:dyDescent="0.2">
      <c r="B35" s="50" t="s">
        <v>11</v>
      </c>
      <c r="C35" s="51" t="s">
        <v>5</v>
      </c>
      <c r="D35" s="52" t="s">
        <v>6</v>
      </c>
      <c r="G35" s="50" t="s">
        <v>11</v>
      </c>
      <c r="H35" s="51" t="s">
        <v>5</v>
      </c>
      <c r="I35" s="52" t="s">
        <v>12</v>
      </c>
      <c r="J35" s="53"/>
      <c r="K35" s="53"/>
      <c r="Q35" s="49"/>
      <c r="R35" s="47"/>
      <c r="S35" s="32"/>
      <c r="T35" s="45"/>
    </row>
    <row r="36" spans="2:20" x14ac:dyDescent="0.2">
      <c r="B36" s="54" t="s">
        <v>13</v>
      </c>
      <c r="C36" s="55">
        <v>0</v>
      </c>
      <c r="D36" s="56">
        <v>-14</v>
      </c>
      <c r="G36" s="54" t="s">
        <v>13</v>
      </c>
      <c r="H36" s="55">
        <v>0</v>
      </c>
      <c r="I36" s="56">
        <v>17343</v>
      </c>
      <c r="Q36" s="49"/>
      <c r="R36" s="47"/>
      <c r="S36" s="32"/>
      <c r="T36" s="45"/>
    </row>
    <row r="37" spans="2:20" x14ac:dyDescent="0.2">
      <c r="B37" s="54" t="s">
        <v>14</v>
      </c>
      <c r="C37" s="55">
        <v>13.666666666666666</v>
      </c>
      <c r="D37" s="56">
        <v>-5.666666666666667</v>
      </c>
      <c r="G37" s="54" t="s">
        <v>14</v>
      </c>
      <c r="H37" s="55">
        <v>13.666666666666666</v>
      </c>
      <c r="I37" s="56">
        <v>43388</v>
      </c>
      <c r="N37" s="32"/>
      <c r="O37" s="49"/>
      <c r="P37" s="49"/>
      <c r="Q37" s="49"/>
      <c r="R37" s="47"/>
      <c r="S37" s="32"/>
      <c r="T37" s="45"/>
    </row>
    <row r="38" spans="2:20" x14ac:dyDescent="0.2">
      <c r="B38" s="54" t="s">
        <v>15</v>
      </c>
      <c r="C38" s="55">
        <v>24</v>
      </c>
      <c r="D38" s="56">
        <v>7.666666666666667</v>
      </c>
      <c r="G38" s="54" t="s">
        <v>15</v>
      </c>
      <c r="H38" s="55">
        <v>24</v>
      </c>
      <c r="I38" s="56">
        <v>57668.5</v>
      </c>
      <c r="Q38" s="49"/>
      <c r="R38" s="47"/>
      <c r="S38" s="32"/>
      <c r="T38" s="45"/>
    </row>
    <row r="39" spans="2:20" x14ac:dyDescent="0.2">
      <c r="B39" s="54" t="s">
        <v>16</v>
      </c>
      <c r="C39" s="55">
        <v>26.666666666666668</v>
      </c>
      <c r="D39" s="56">
        <v>18.666666666666668</v>
      </c>
      <c r="G39" s="54" t="s">
        <v>16</v>
      </c>
      <c r="H39" s="55">
        <v>26.666666666666668</v>
      </c>
      <c r="I39" s="56">
        <v>57975</v>
      </c>
      <c r="P39" s="53"/>
      <c r="Q39" s="49"/>
      <c r="R39" s="47"/>
      <c r="S39" s="32"/>
      <c r="T39" s="45"/>
    </row>
    <row r="40" spans="2:20" x14ac:dyDescent="0.2">
      <c r="B40" s="54" t="s">
        <v>17</v>
      </c>
      <c r="C40" s="55">
        <v>4.333333333333333</v>
      </c>
      <c r="D40" s="56">
        <v>-6</v>
      </c>
      <c r="G40" s="54" t="s">
        <v>17</v>
      </c>
      <c r="H40" s="55">
        <v>4.333333333333333</v>
      </c>
      <c r="I40" s="56">
        <v>47892</v>
      </c>
      <c r="P40" s="53"/>
      <c r="Q40" s="49"/>
      <c r="R40" s="47"/>
      <c r="S40" s="32"/>
      <c r="T40" s="45"/>
    </row>
    <row r="41" spans="2:20" x14ac:dyDescent="0.2">
      <c r="B41" s="54" t="s">
        <v>18</v>
      </c>
      <c r="C41" s="55">
        <v>1.3333333333333333</v>
      </c>
      <c r="D41" s="56">
        <v>-8.6666666666666661</v>
      </c>
      <c r="G41" s="54" t="s">
        <v>18</v>
      </c>
      <c r="H41" s="55">
        <v>1.3333333333333333</v>
      </c>
      <c r="I41" s="56">
        <v>12577.666666666666</v>
      </c>
      <c r="P41" s="53"/>
      <c r="Q41" s="49"/>
      <c r="R41" s="47"/>
      <c r="S41" s="32"/>
      <c r="T41" s="45"/>
    </row>
    <row r="42" spans="2:20" x14ac:dyDescent="0.2">
      <c r="B42" s="54" t="s">
        <v>19</v>
      </c>
      <c r="C42" s="55">
        <v>5</v>
      </c>
      <c r="D42" s="56">
        <v>-9.6666666666666661</v>
      </c>
      <c r="G42" s="54" t="s">
        <v>19</v>
      </c>
      <c r="H42" s="55">
        <v>5</v>
      </c>
      <c r="I42" s="56">
        <v>11228</v>
      </c>
      <c r="P42" s="49"/>
      <c r="Q42" s="49"/>
      <c r="R42" s="47"/>
      <c r="S42" s="32"/>
      <c r="T42" s="45"/>
    </row>
    <row r="43" spans="2:20" x14ac:dyDescent="0.2">
      <c r="B43" s="54" t="s">
        <v>20</v>
      </c>
      <c r="C43" s="55">
        <v>25.333333333333332</v>
      </c>
      <c r="D43" s="56">
        <v>13.666666666666666</v>
      </c>
      <c r="G43" s="54" t="s">
        <v>20</v>
      </c>
      <c r="H43" s="55">
        <v>25.333333333333332</v>
      </c>
      <c r="I43" s="56">
        <v>66550.5</v>
      </c>
      <c r="P43" s="49"/>
      <c r="Q43" s="49"/>
      <c r="R43" s="47"/>
      <c r="S43" s="32"/>
      <c r="T43" s="45"/>
    </row>
    <row r="44" spans="2:20" x14ac:dyDescent="0.2">
      <c r="B44" s="54" t="s">
        <v>21</v>
      </c>
      <c r="C44" s="55">
        <v>7.333333333333333</v>
      </c>
      <c r="D44" s="56">
        <v>3.3333333333333335</v>
      </c>
      <c r="G44" s="54" t="s">
        <v>21</v>
      </c>
      <c r="H44" s="55">
        <v>7.333333333333333</v>
      </c>
      <c r="I44" s="56">
        <v>27010</v>
      </c>
      <c r="P44" s="49"/>
      <c r="Q44" s="49"/>
      <c r="R44" s="47"/>
      <c r="S44" s="32"/>
      <c r="T44" s="45"/>
    </row>
    <row r="45" spans="2:20" x14ac:dyDescent="0.2">
      <c r="B45" s="54" t="s">
        <v>22</v>
      </c>
      <c r="C45" s="55">
        <v>11.666666666666666</v>
      </c>
      <c r="D45" s="56">
        <v>-2</v>
      </c>
      <c r="G45" s="54" t="s">
        <v>22</v>
      </c>
      <c r="H45" s="55">
        <v>11.666666666666666</v>
      </c>
      <c r="I45" s="56">
        <v>35488.5</v>
      </c>
      <c r="N45" s="32"/>
      <c r="O45" s="49"/>
      <c r="P45" s="49"/>
      <c r="Q45" s="49"/>
      <c r="R45" s="47"/>
      <c r="S45" s="32"/>
      <c r="T45" s="45"/>
    </row>
    <row r="46" spans="2:20" x14ac:dyDescent="0.2">
      <c r="B46" s="54" t="s">
        <v>23</v>
      </c>
      <c r="C46" s="55">
        <v>9.6666666666666661</v>
      </c>
      <c r="D46" s="56">
        <v>-7</v>
      </c>
      <c r="G46" s="54" t="s">
        <v>23</v>
      </c>
      <c r="H46" s="55">
        <v>9.6666666666666661</v>
      </c>
      <c r="I46" s="56">
        <v>27688.666666666668</v>
      </c>
      <c r="N46" s="32"/>
      <c r="O46" s="49"/>
      <c r="P46" s="49"/>
      <c r="Q46" s="49"/>
      <c r="R46" s="47"/>
      <c r="S46" s="32"/>
      <c r="T46" s="45"/>
    </row>
    <row r="47" spans="2:20" x14ac:dyDescent="0.2">
      <c r="B47" s="57" t="s">
        <v>24</v>
      </c>
      <c r="C47" s="58">
        <v>4</v>
      </c>
      <c r="D47" s="59">
        <v>0.33333333333333331</v>
      </c>
      <c r="G47" s="57" t="s">
        <v>24</v>
      </c>
      <c r="H47" s="58">
        <v>4</v>
      </c>
      <c r="I47" s="59">
        <v>11647.333333333334</v>
      </c>
      <c r="N47" s="32"/>
      <c r="O47" s="49"/>
      <c r="P47" s="49"/>
      <c r="Q47" s="49"/>
      <c r="R47" s="47"/>
      <c r="S47" s="32"/>
      <c r="T47" s="45"/>
    </row>
    <row r="48" spans="2:20" x14ac:dyDescent="0.2">
      <c r="B48" s="64" t="s">
        <v>47</v>
      </c>
      <c r="G48" s="64" t="s">
        <v>48</v>
      </c>
      <c r="N48" s="32"/>
      <c r="O48" s="49"/>
      <c r="P48" s="49"/>
      <c r="Q48" s="49"/>
      <c r="R48" s="47"/>
      <c r="S48" s="32"/>
      <c r="T48" s="45"/>
    </row>
    <row r="49" spans="2:20" x14ac:dyDescent="0.2">
      <c r="B49" s="47"/>
      <c r="N49" s="32"/>
      <c r="O49" s="49"/>
      <c r="P49" s="49"/>
      <c r="Q49" s="49"/>
      <c r="R49" s="47"/>
      <c r="S49" s="32"/>
      <c r="T49" s="45"/>
    </row>
    <row r="50" spans="2:20" x14ac:dyDescent="0.2">
      <c r="B50" s="47"/>
      <c r="N50" s="32"/>
      <c r="O50" s="49"/>
      <c r="P50" s="49"/>
      <c r="Q50" s="49"/>
      <c r="R50" s="47"/>
      <c r="S50" s="32"/>
      <c r="T50" s="45"/>
    </row>
    <row r="51" spans="2:20" x14ac:dyDescent="0.2">
      <c r="B51" s="47"/>
      <c r="N51" s="32"/>
      <c r="O51" s="49"/>
      <c r="P51" s="49"/>
      <c r="Q51" s="49"/>
      <c r="R51" s="47"/>
      <c r="S51" s="32"/>
      <c r="T51" s="45"/>
    </row>
    <row r="52" spans="2:20" x14ac:dyDescent="0.2">
      <c r="B52" s="47"/>
      <c r="N52" s="32"/>
      <c r="O52" s="49"/>
      <c r="P52" s="49"/>
      <c r="Q52" s="49"/>
      <c r="R52" s="47"/>
      <c r="S52" s="32"/>
      <c r="T52" s="45"/>
    </row>
    <row r="53" spans="2:20" x14ac:dyDescent="0.2">
      <c r="B53" s="47"/>
      <c r="N53" s="32"/>
      <c r="O53" s="49"/>
      <c r="P53" s="49"/>
      <c r="Q53" s="49"/>
      <c r="R53" s="47"/>
      <c r="S53" s="32"/>
      <c r="T53" s="45"/>
    </row>
    <row r="54" spans="2:20" x14ac:dyDescent="0.2">
      <c r="B54" s="47"/>
      <c r="N54" s="32"/>
      <c r="O54" s="49"/>
      <c r="P54" s="49"/>
      <c r="Q54" s="49"/>
      <c r="R54" s="47"/>
      <c r="S54" s="32"/>
      <c r="T54" s="45"/>
    </row>
    <row r="55" spans="2:20" x14ac:dyDescent="0.2">
      <c r="B55" s="47"/>
      <c r="N55" s="32"/>
      <c r="O55" s="49"/>
      <c r="P55" s="49"/>
      <c r="Q55" s="49"/>
      <c r="R55" s="47"/>
      <c r="S55" s="32"/>
      <c r="T55" s="45"/>
    </row>
    <row r="56" spans="2:20" x14ac:dyDescent="0.2">
      <c r="B56" s="47"/>
      <c r="N56" s="32"/>
      <c r="O56" s="49"/>
      <c r="P56" s="49"/>
      <c r="Q56" s="49"/>
      <c r="R56" s="47"/>
      <c r="S56" s="32"/>
      <c r="T56" s="45"/>
    </row>
    <row r="57" spans="2:20" x14ac:dyDescent="0.2">
      <c r="B57" s="47"/>
      <c r="N57" s="32"/>
      <c r="O57" s="49"/>
      <c r="P57" s="49"/>
      <c r="Q57" s="49"/>
      <c r="R57" s="47"/>
      <c r="S57" s="32"/>
      <c r="T57" s="45"/>
    </row>
    <row r="58" spans="2:20" x14ac:dyDescent="0.2">
      <c r="B58" s="47"/>
      <c r="N58" s="32"/>
      <c r="O58" s="49"/>
      <c r="P58" s="49"/>
      <c r="Q58" s="49"/>
      <c r="R58" s="47"/>
      <c r="S58" s="32"/>
      <c r="T58" s="45"/>
    </row>
    <row r="59" spans="2:20" x14ac:dyDescent="0.2">
      <c r="B59" s="47"/>
      <c r="N59" s="32"/>
      <c r="O59" s="49"/>
      <c r="P59" s="49"/>
      <c r="Q59" s="49"/>
      <c r="R59" s="47"/>
      <c r="S59" s="32"/>
      <c r="T59" s="45"/>
    </row>
    <row r="60" spans="2:20" x14ac:dyDescent="0.2">
      <c r="B60" s="47"/>
      <c r="N60" s="32"/>
      <c r="O60" s="49"/>
      <c r="P60" s="49"/>
      <c r="Q60" s="49"/>
      <c r="R60" s="47"/>
      <c r="S60" s="32"/>
      <c r="T60" s="45"/>
    </row>
    <row r="61" spans="2:20" x14ac:dyDescent="0.2">
      <c r="B61" s="47"/>
      <c r="N61" s="32"/>
      <c r="O61" s="49"/>
      <c r="P61" s="49"/>
      <c r="Q61" s="49"/>
      <c r="R61" s="47"/>
      <c r="S61" s="32"/>
      <c r="T61" s="45"/>
    </row>
    <row r="62" spans="2:20" x14ac:dyDescent="0.2">
      <c r="B62" s="47"/>
      <c r="N62" s="32"/>
      <c r="O62" s="49"/>
      <c r="P62" s="49"/>
      <c r="Q62" s="49"/>
      <c r="R62" s="47"/>
      <c r="S62" s="32"/>
      <c r="T62" s="45"/>
    </row>
    <row r="63" spans="2:20" x14ac:dyDescent="0.2">
      <c r="B63" s="47"/>
      <c r="N63" s="32"/>
      <c r="O63" s="49"/>
      <c r="P63" s="49"/>
      <c r="Q63" s="49"/>
      <c r="R63" s="47"/>
      <c r="S63" s="32"/>
      <c r="T63" s="45"/>
    </row>
    <row r="64" spans="2:20" x14ac:dyDescent="0.2">
      <c r="B64" s="47"/>
      <c r="N64" s="32"/>
      <c r="O64" s="49"/>
      <c r="P64" s="49"/>
      <c r="Q64" s="49"/>
      <c r="R64" s="47"/>
      <c r="S64" s="32"/>
      <c r="T64" s="45"/>
    </row>
    <row r="65" spans="2:16" x14ac:dyDescent="0.2">
      <c r="B65" s="47"/>
      <c r="N65" s="32"/>
      <c r="O65" s="49"/>
      <c r="P65" s="49"/>
    </row>
    <row r="66" spans="2:16" x14ac:dyDescent="0.2">
      <c r="B66" s="47"/>
      <c r="N66" s="32"/>
      <c r="O66" s="49"/>
      <c r="P66" s="49"/>
    </row>
  </sheetData>
  <mergeCells count="3">
    <mergeCell ref="B5:D5"/>
    <mergeCell ref="F5:H5"/>
    <mergeCell ref="J5:L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3FD8E-74C7-374C-93B6-05D4FAD2BB0B}">
  <dimension ref="A2:T53"/>
  <sheetViews>
    <sheetView showGridLines="0" zoomScaleNormal="100" workbookViewId="0"/>
  </sheetViews>
  <sheetFormatPr baseColWidth="10" defaultRowHeight="16" x14ac:dyDescent="0.2"/>
  <cols>
    <col min="1" max="1" width="10.83203125" style="2"/>
    <col min="2" max="16" width="25.33203125" style="2" customWidth="1"/>
    <col min="17" max="20" width="10.83203125" style="2" customWidth="1"/>
    <col min="21" max="16384" width="10.83203125" style="2"/>
  </cols>
  <sheetData>
    <row r="2" spans="1:20" x14ac:dyDescent="0.2">
      <c r="B2" s="1" t="s">
        <v>41</v>
      </c>
      <c r="N2" s="63" t="s">
        <v>49</v>
      </c>
    </row>
    <row r="3" spans="1:20" x14ac:dyDescent="0.2">
      <c r="B3" s="3" t="s">
        <v>40</v>
      </c>
      <c r="N3" s="1" t="s">
        <v>41</v>
      </c>
      <c r="O3" s="3"/>
    </row>
    <row r="4" spans="1:20" x14ac:dyDescent="0.2">
      <c r="N4" s="32"/>
    </row>
    <row r="5" spans="1:20" x14ac:dyDescent="0.2">
      <c r="B5" s="62" t="s">
        <v>39</v>
      </c>
      <c r="C5" s="62"/>
      <c r="D5" s="62"/>
      <c r="F5" s="62" t="s">
        <v>3</v>
      </c>
      <c r="G5" s="62"/>
      <c r="H5" s="62"/>
      <c r="J5" s="62" t="s">
        <v>4</v>
      </c>
      <c r="K5" s="62"/>
      <c r="L5" s="62"/>
      <c r="O5" s="5" t="s">
        <v>5</v>
      </c>
      <c r="P5" s="6" t="s">
        <v>6</v>
      </c>
    </row>
    <row r="6" spans="1:20" x14ac:dyDescent="0.2">
      <c r="B6" s="7" t="s">
        <v>7</v>
      </c>
      <c r="C6" s="8" t="s">
        <v>8</v>
      </c>
      <c r="D6" s="9" t="s">
        <v>9</v>
      </c>
      <c r="F6" s="7" t="s">
        <v>7</v>
      </c>
      <c r="G6" s="8" t="s">
        <v>8</v>
      </c>
      <c r="H6" s="9" t="s">
        <v>9</v>
      </c>
      <c r="J6" s="7" t="s">
        <v>7</v>
      </c>
      <c r="K6" s="8" t="s">
        <v>8</v>
      </c>
      <c r="L6" s="9" t="s">
        <v>9</v>
      </c>
      <c r="N6" s="10" t="s">
        <v>7</v>
      </c>
      <c r="O6" s="11">
        <f>AVERAGE('[1]Clean Data PL'!H8:H21)</f>
        <v>11</v>
      </c>
      <c r="P6" s="12">
        <f>AVERAGE('[1]Clean Data PL'!I8:I21)</f>
        <v>-1.9285714285714286</v>
      </c>
    </row>
    <row r="7" spans="1:20" x14ac:dyDescent="0.2">
      <c r="B7" s="13">
        <v>59899</v>
      </c>
      <c r="C7" s="14">
        <v>632</v>
      </c>
      <c r="D7" s="15">
        <v>60236</v>
      </c>
      <c r="F7" s="16">
        <v>26</v>
      </c>
      <c r="G7" s="14">
        <v>3</v>
      </c>
      <c r="H7" s="17">
        <v>32</v>
      </c>
      <c r="J7" s="18">
        <v>0.73684210526315785</v>
      </c>
      <c r="K7" s="19">
        <v>0.42105263157894735</v>
      </c>
      <c r="L7" s="20">
        <v>0.78947368421052633</v>
      </c>
      <c r="N7" s="21" t="s">
        <v>8</v>
      </c>
      <c r="O7" s="11">
        <f>AVERAGE('[1]Clean Data PL'!P8:P21)</f>
        <v>1.9285714285714286</v>
      </c>
      <c r="P7" s="12">
        <f>AVERAGE('[1]Clean Data PL'!Q8:Q21)</f>
        <v>3.0714285714285716</v>
      </c>
    </row>
    <row r="8" spans="1:20" x14ac:dyDescent="0.2">
      <c r="B8" s="13">
        <v>30426</v>
      </c>
      <c r="C8" s="14">
        <v>523</v>
      </c>
      <c r="D8" s="15">
        <v>32638</v>
      </c>
      <c r="F8" s="16">
        <v>-9</v>
      </c>
      <c r="G8" s="14">
        <v>0</v>
      </c>
      <c r="H8" s="17">
        <v>3</v>
      </c>
      <c r="J8" s="18">
        <v>0.31578947368421051</v>
      </c>
      <c r="K8" s="19">
        <v>0.21052631578947367</v>
      </c>
      <c r="L8" s="20">
        <v>0.42105263157894735</v>
      </c>
      <c r="N8" s="22" t="s">
        <v>9</v>
      </c>
      <c r="O8" s="23">
        <f>AVERAGE('[1]Clean Data PL'!X8:X21)</f>
        <v>11.285714285714286</v>
      </c>
      <c r="P8" s="24">
        <f>AVERAGE('[1]Clean Data PL'!Y8:Y21)</f>
        <v>-2.2142857142857144</v>
      </c>
    </row>
    <row r="9" spans="1:20" x14ac:dyDescent="0.2">
      <c r="B9" s="13">
        <v>20534</v>
      </c>
      <c r="C9" s="14">
        <v>178</v>
      </c>
      <c r="D9" s="15">
        <v>21184</v>
      </c>
      <c r="F9" s="16">
        <v>-8</v>
      </c>
      <c r="G9" s="14">
        <v>-13</v>
      </c>
      <c r="H9" s="17">
        <v>-24</v>
      </c>
      <c r="J9" s="18">
        <v>0.36842105263157893</v>
      </c>
      <c r="K9" s="19">
        <v>0.21052631578947367</v>
      </c>
      <c r="L9" s="20">
        <v>0.10526315789473684</v>
      </c>
    </row>
    <row r="10" spans="1:20" x14ac:dyDescent="0.2">
      <c r="B10" s="13">
        <v>40437</v>
      </c>
      <c r="C10" s="14">
        <v>526</v>
      </c>
      <c r="D10" s="15">
        <v>39524</v>
      </c>
      <c r="F10" s="16">
        <v>27</v>
      </c>
      <c r="G10" s="14">
        <v>13</v>
      </c>
      <c r="H10" s="17">
        <v>18</v>
      </c>
      <c r="J10" s="18">
        <v>0.63157894736842102</v>
      </c>
      <c r="K10" s="19">
        <v>0.47368421052631576</v>
      </c>
      <c r="L10" s="20">
        <v>0.57894736842105265</v>
      </c>
    </row>
    <row r="11" spans="1:20" x14ac:dyDescent="0.2">
      <c r="A11" s="32"/>
      <c r="B11" s="13">
        <v>25455</v>
      </c>
      <c r="C11" s="14">
        <v>447</v>
      </c>
      <c r="D11" s="15">
        <v>24932</v>
      </c>
      <c r="F11" s="16">
        <v>-4</v>
      </c>
      <c r="G11" s="14">
        <v>-12</v>
      </c>
      <c r="H11" s="17">
        <v>11</v>
      </c>
      <c r="I11" s="32"/>
      <c r="J11" s="18">
        <v>0.26315789473684209</v>
      </c>
      <c r="K11" s="19">
        <v>0.31578947368421051</v>
      </c>
      <c r="L11" s="20">
        <v>0.42105263157894735</v>
      </c>
      <c r="N11" s="27"/>
      <c r="O11" s="28" t="s">
        <v>10</v>
      </c>
      <c r="R11" s="60"/>
      <c r="S11" s="32"/>
      <c r="T11" s="32"/>
    </row>
    <row r="12" spans="1:20" x14ac:dyDescent="0.2">
      <c r="A12" s="32"/>
      <c r="B12" s="13">
        <v>39043</v>
      </c>
      <c r="C12" s="14">
        <v>368</v>
      </c>
      <c r="D12" s="15">
        <v>39042</v>
      </c>
      <c r="F12" s="16">
        <v>9</v>
      </c>
      <c r="G12" s="14">
        <v>-4</v>
      </c>
      <c r="H12" s="17">
        <v>4</v>
      </c>
      <c r="I12" s="32"/>
      <c r="J12" s="18">
        <v>0.52631578947368418</v>
      </c>
      <c r="K12" s="19">
        <v>0.31578947368421051</v>
      </c>
      <c r="L12" s="20">
        <v>0.42105263157894735</v>
      </c>
      <c r="N12" s="30" t="s">
        <v>7</v>
      </c>
      <c r="O12" s="31">
        <v>1.8007142857142855</v>
      </c>
      <c r="R12" s="60"/>
      <c r="S12" s="32"/>
      <c r="T12" s="32"/>
    </row>
    <row r="13" spans="1:20" x14ac:dyDescent="0.2">
      <c r="A13" s="32"/>
      <c r="B13" s="13">
        <v>24371</v>
      </c>
      <c r="C13" s="14">
        <v>211</v>
      </c>
      <c r="D13" s="15">
        <v>24302</v>
      </c>
      <c r="F13" s="16">
        <v>-14</v>
      </c>
      <c r="G13" s="14">
        <v>-19</v>
      </c>
      <c r="H13" s="17">
        <v>7</v>
      </c>
      <c r="I13" s="32"/>
      <c r="J13" s="18">
        <v>0.31578947368421051</v>
      </c>
      <c r="K13" s="19">
        <v>0.10526315789473684</v>
      </c>
      <c r="L13" s="20">
        <v>0.47368421052631576</v>
      </c>
      <c r="N13" s="35" t="s">
        <v>8</v>
      </c>
      <c r="O13" s="31">
        <v>1.4114285714285713</v>
      </c>
      <c r="R13" s="60"/>
      <c r="S13" s="32"/>
      <c r="T13" s="32"/>
    </row>
    <row r="14" spans="1:20" x14ac:dyDescent="0.2">
      <c r="A14" s="32"/>
      <c r="B14" s="13">
        <v>52983</v>
      </c>
      <c r="C14" s="14">
        <v>837</v>
      </c>
      <c r="D14" s="15">
        <v>55979</v>
      </c>
      <c r="F14" s="16">
        <v>45</v>
      </c>
      <c r="G14" s="14">
        <v>9</v>
      </c>
      <c r="H14" s="17">
        <v>32</v>
      </c>
      <c r="I14" s="32"/>
      <c r="J14" s="18">
        <v>0.89473684210526316</v>
      </c>
      <c r="K14" s="19">
        <v>0.52631578947368418</v>
      </c>
      <c r="L14" s="20">
        <v>0.78947368421052633</v>
      </c>
      <c r="N14" s="36" t="s">
        <v>9</v>
      </c>
      <c r="O14" s="61">
        <v>1.7750000000000001</v>
      </c>
      <c r="R14" s="60"/>
      <c r="S14" s="32"/>
      <c r="T14" s="32"/>
    </row>
    <row r="15" spans="1:20" x14ac:dyDescent="0.2">
      <c r="A15" s="32"/>
      <c r="B15" s="13">
        <v>54130</v>
      </c>
      <c r="C15" s="14">
        <v>526</v>
      </c>
      <c r="D15" s="15">
        <v>53012</v>
      </c>
      <c r="F15" s="16">
        <v>45</v>
      </c>
      <c r="G15" s="14">
        <v>26</v>
      </c>
      <c r="H15" s="17">
        <v>35</v>
      </c>
      <c r="I15" s="32"/>
      <c r="J15" s="18">
        <v>0.94736842105263153</v>
      </c>
      <c r="K15" s="19">
        <v>0.68421052631578949</v>
      </c>
      <c r="L15" s="20">
        <v>0.73684210526315785</v>
      </c>
      <c r="R15" s="60"/>
      <c r="S15" s="32"/>
      <c r="T15" s="32"/>
    </row>
    <row r="16" spans="1:20" x14ac:dyDescent="0.2">
      <c r="A16" s="32"/>
      <c r="B16" s="13">
        <v>74498</v>
      </c>
      <c r="C16" s="14">
        <v>526</v>
      </c>
      <c r="D16" s="15">
        <v>73533</v>
      </c>
      <c r="F16" s="16">
        <v>8</v>
      </c>
      <c r="G16" s="14">
        <v>10</v>
      </c>
      <c r="H16" s="17">
        <v>3</v>
      </c>
      <c r="I16" s="32"/>
      <c r="J16" s="18">
        <v>0.52631578947368418</v>
      </c>
      <c r="K16" s="19">
        <v>0.47368421052631576</v>
      </c>
      <c r="L16" s="20">
        <v>0.52631578947368418</v>
      </c>
      <c r="N16" s="64" t="s">
        <v>50</v>
      </c>
      <c r="R16" s="60"/>
      <c r="S16" s="32"/>
      <c r="T16" s="32"/>
    </row>
    <row r="17" spans="1:20" x14ac:dyDescent="0.2">
      <c r="A17" s="32"/>
      <c r="B17" s="13">
        <v>51121</v>
      </c>
      <c r="C17" s="14">
        <v>526</v>
      </c>
      <c r="D17" s="15">
        <v>52125</v>
      </c>
      <c r="F17" s="16">
        <v>-1</v>
      </c>
      <c r="G17" s="14">
        <v>-7</v>
      </c>
      <c r="H17" s="17">
        <v>27</v>
      </c>
      <c r="I17" s="32"/>
      <c r="J17" s="18">
        <v>0.42105263157894735</v>
      </c>
      <c r="K17" s="19">
        <v>0.31578947368421051</v>
      </c>
      <c r="L17" s="20">
        <v>0.63157894736842102</v>
      </c>
      <c r="R17" s="60"/>
      <c r="S17" s="32"/>
      <c r="T17" s="32"/>
    </row>
    <row r="18" spans="1:20" x14ac:dyDescent="0.2">
      <c r="A18" s="32"/>
      <c r="B18" s="38">
        <v>54216</v>
      </c>
      <c r="C18" s="39">
        <v>632</v>
      </c>
      <c r="D18" s="40">
        <v>61482</v>
      </c>
      <c r="F18" s="41">
        <v>18</v>
      </c>
      <c r="G18" s="39">
        <v>15</v>
      </c>
      <c r="H18" s="37">
        <v>11</v>
      </c>
      <c r="I18" s="32"/>
      <c r="J18" s="42">
        <v>0.63157894736842102</v>
      </c>
      <c r="K18" s="43">
        <v>0.52631578947368418</v>
      </c>
      <c r="L18" s="44">
        <v>0.68421052631578949</v>
      </c>
      <c r="R18" s="60"/>
      <c r="S18" s="32"/>
      <c r="T18" s="32"/>
    </row>
    <row r="19" spans="1:20" x14ac:dyDescent="0.2">
      <c r="A19" s="32"/>
      <c r="B19" s="38">
        <v>58336</v>
      </c>
      <c r="C19" s="39">
        <v>632</v>
      </c>
      <c r="D19" s="40">
        <v>62567</v>
      </c>
      <c r="E19" s="32"/>
      <c r="F19" s="41">
        <v>5</v>
      </c>
      <c r="G19" s="39">
        <v>10</v>
      </c>
      <c r="H19" s="37">
        <v>3</v>
      </c>
      <c r="I19" s="32"/>
      <c r="J19" s="42">
        <v>0.47368421052631576</v>
      </c>
      <c r="K19" s="43">
        <v>0.52631578947368418</v>
      </c>
      <c r="L19" s="44">
        <v>0.36842105263157893</v>
      </c>
      <c r="R19" s="60"/>
      <c r="S19" s="32"/>
      <c r="T19" s="32"/>
    </row>
    <row r="20" spans="1:20" x14ac:dyDescent="0.2">
      <c r="A20" s="32"/>
      <c r="B20" s="38">
        <v>31030</v>
      </c>
      <c r="C20" s="39">
        <v>237</v>
      </c>
      <c r="D20" s="40">
        <v>31029</v>
      </c>
      <c r="E20" s="32"/>
      <c r="F20" s="41">
        <v>7</v>
      </c>
      <c r="G20" s="39">
        <v>-4</v>
      </c>
      <c r="H20" s="37">
        <v>-4</v>
      </c>
      <c r="I20" s="32"/>
      <c r="J20" s="42">
        <v>0.52631578947368418</v>
      </c>
      <c r="K20" s="43">
        <v>0.36842105263157893</v>
      </c>
      <c r="L20" s="44">
        <v>0.42105263157894735</v>
      </c>
      <c r="R20" s="60"/>
      <c r="S20" s="32"/>
      <c r="T20" s="32"/>
    </row>
    <row r="21" spans="1:20" x14ac:dyDescent="0.2">
      <c r="A21" s="32"/>
      <c r="B21" s="64" t="s">
        <v>51</v>
      </c>
      <c r="C21" s="32"/>
      <c r="D21" s="32"/>
      <c r="E21" s="32"/>
      <c r="F21" s="64" t="s">
        <v>52</v>
      </c>
      <c r="G21" s="32"/>
      <c r="H21" s="32"/>
      <c r="I21" s="32"/>
      <c r="J21" s="64" t="s">
        <v>53</v>
      </c>
      <c r="R21" s="60"/>
      <c r="S21" s="32"/>
      <c r="T21" s="32"/>
    </row>
    <row r="22" spans="1:20" x14ac:dyDescent="0.2">
      <c r="A22" s="32"/>
      <c r="B22" s="32"/>
      <c r="C22" s="32"/>
      <c r="D22" s="32"/>
      <c r="E22" s="32"/>
      <c r="F22" s="32"/>
      <c r="G22" s="32"/>
      <c r="H22" s="32"/>
      <c r="I22" s="32"/>
      <c r="J22" s="32"/>
      <c r="R22" s="60"/>
      <c r="S22" s="32"/>
      <c r="T22" s="32"/>
    </row>
    <row r="23" spans="1:20" x14ac:dyDescent="0.2">
      <c r="A23" s="32"/>
      <c r="B23" s="32"/>
      <c r="C23" s="32"/>
      <c r="D23" s="32"/>
      <c r="E23" s="32"/>
      <c r="F23" s="32"/>
      <c r="G23" s="32"/>
      <c r="H23" s="32"/>
      <c r="I23" s="32"/>
      <c r="J23" s="32"/>
      <c r="R23" s="60"/>
      <c r="S23" s="32"/>
      <c r="T23" s="32"/>
    </row>
    <row r="24" spans="1:20" x14ac:dyDescent="0.2">
      <c r="A24" s="32"/>
      <c r="B24" s="32"/>
      <c r="C24" s="32"/>
      <c r="D24" s="32"/>
      <c r="E24" s="32"/>
      <c r="F24" s="32"/>
      <c r="G24" s="32"/>
      <c r="H24" s="32"/>
      <c r="I24" s="32"/>
      <c r="J24" s="32"/>
      <c r="R24" s="60"/>
      <c r="S24" s="32"/>
      <c r="T24" s="32"/>
    </row>
    <row r="25" spans="1:20" x14ac:dyDescent="0.2">
      <c r="A25" s="32"/>
      <c r="B25" s="32"/>
      <c r="C25" s="32"/>
      <c r="D25" s="32"/>
      <c r="E25" s="32"/>
      <c r="F25" s="32"/>
      <c r="G25" s="32"/>
      <c r="H25" s="32"/>
      <c r="I25" s="32"/>
      <c r="J25" s="32"/>
      <c r="R25" s="60"/>
      <c r="S25" s="32"/>
      <c r="T25" s="32"/>
    </row>
    <row r="26" spans="1:20" x14ac:dyDescent="0.2">
      <c r="A26" s="32"/>
      <c r="B26" s="32"/>
      <c r="C26" s="32"/>
      <c r="D26" s="32"/>
      <c r="E26" s="32"/>
      <c r="F26" s="32"/>
      <c r="G26" s="32"/>
      <c r="H26" s="32"/>
      <c r="I26" s="32"/>
      <c r="J26" s="32"/>
      <c r="P26" s="49"/>
    </row>
    <row r="27" spans="1:20" x14ac:dyDescent="0.2">
      <c r="A27" s="32"/>
      <c r="B27" s="32"/>
      <c r="C27" s="32"/>
      <c r="D27" s="32"/>
      <c r="E27" s="32"/>
      <c r="F27" s="32"/>
      <c r="G27" s="32"/>
      <c r="H27" s="32"/>
      <c r="I27" s="32"/>
      <c r="J27" s="32"/>
      <c r="P27" s="49"/>
    </row>
    <row r="28" spans="1:20" x14ac:dyDescent="0.2">
      <c r="A28" s="32"/>
      <c r="B28" s="45"/>
      <c r="C28" s="32"/>
      <c r="D28" s="32"/>
      <c r="E28" s="32"/>
      <c r="F28" s="32"/>
      <c r="G28" s="32"/>
      <c r="H28" s="32"/>
      <c r="I28" s="32"/>
      <c r="J28" s="32"/>
      <c r="R28" s="47"/>
      <c r="S28" s="32"/>
      <c r="T28" s="45"/>
    </row>
    <row r="29" spans="1:20" x14ac:dyDescent="0.2">
      <c r="A29" s="32"/>
      <c r="B29" s="45"/>
      <c r="C29" s="32"/>
      <c r="D29" s="32"/>
      <c r="E29" s="32"/>
      <c r="F29" s="32"/>
      <c r="G29" s="32"/>
      <c r="H29" s="32"/>
      <c r="I29" s="32"/>
      <c r="J29" s="32"/>
      <c r="Q29" s="49"/>
      <c r="R29" s="47"/>
      <c r="S29" s="32"/>
      <c r="T29" s="45"/>
    </row>
    <row r="30" spans="1:20" x14ac:dyDescent="0.2">
      <c r="A30" s="32"/>
      <c r="B30" s="45"/>
      <c r="C30" s="32"/>
      <c r="D30" s="32"/>
      <c r="E30" s="32"/>
      <c r="F30" s="32"/>
      <c r="G30" s="32"/>
      <c r="H30" s="32"/>
      <c r="I30" s="32"/>
      <c r="J30" s="32"/>
      <c r="Q30" s="49"/>
      <c r="R30" s="47"/>
      <c r="S30" s="32"/>
      <c r="T30" s="45"/>
    </row>
    <row r="31" spans="1:20" x14ac:dyDescent="0.2">
      <c r="A31" s="32"/>
      <c r="B31" s="45"/>
      <c r="C31" s="32"/>
      <c r="D31" s="32"/>
      <c r="E31" s="32"/>
      <c r="F31" s="32"/>
      <c r="G31" s="32"/>
      <c r="H31" s="32"/>
      <c r="I31" s="32"/>
      <c r="J31" s="32"/>
      <c r="Q31" s="49"/>
      <c r="R31" s="47"/>
      <c r="S31" s="32"/>
      <c r="T31" s="45"/>
    </row>
    <row r="32" spans="1:20" x14ac:dyDescent="0.2">
      <c r="A32" s="32"/>
      <c r="B32" s="45"/>
      <c r="C32" s="32"/>
      <c r="D32" s="32"/>
      <c r="E32" s="32"/>
      <c r="F32" s="32"/>
      <c r="G32" s="32"/>
      <c r="H32" s="32"/>
      <c r="I32" s="32"/>
      <c r="J32" s="32"/>
      <c r="Q32" s="49"/>
      <c r="R32" s="47"/>
      <c r="S32" s="32"/>
      <c r="T32" s="45"/>
    </row>
    <row r="33" spans="1:20" x14ac:dyDescent="0.2">
      <c r="A33" s="32"/>
      <c r="B33" s="45"/>
      <c r="C33" s="32"/>
      <c r="D33" s="32"/>
      <c r="E33" s="32"/>
      <c r="F33" s="32"/>
      <c r="G33" s="32"/>
      <c r="H33" s="32"/>
      <c r="I33" s="32"/>
      <c r="J33" s="32"/>
      <c r="Q33" s="49"/>
      <c r="R33" s="47"/>
      <c r="S33" s="32"/>
      <c r="T33" s="45"/>
    </row>
    <row r="34" spans="1:20" x14ac:dyDescent="0.2">
      <c r="A34" s="32"/>
      <c r="B34" s="45"/>
      <c r="C34" s="32"/>
      <c r="D34" s="32"/>
      <c r="E34" s="32"/>
      <c r="F34" s="32"/>
      <c r="G34" s="32"/>
      <c r="H34" s="32"/>
      <c r="I34" s="32"/>
      <c r="J34" s="32"/>
      <c r="Q34" s="49"/>
      <c r="R34" s="47"/>
      <c r="S34" s="32"/>
      <c r="T34" s="45"/>
    </row>
    <row r="35" spans="1:20" x14ac:dyDescent="0.2">
      <c r="A35" s="32"/>
      <c r="B35" s="45"/>
      <c r="C35" s="32"/>
      <c r="D35" s="32"/>
      <c r="E35" s="32"/>
      <c r="F35" s="32"/>
      <c r="G35" s="32"/>
      <c r="H35" s="32"/>
      <c r="I35" s="32"/>
      <c r="J35" s="32"/>
      <c r="Q35" s="49"/>
      <c r="R35" s="47"/>
      <c r="S35" s="32"/>
      <c r="T35" s="45"/>
    </row>
    <row r="36" spans="1:20" x14ac:dyDescent="0.2">
      <c r="A36" s="32"/>
      <c r="B36" s="45"/>
      <c r="C36" s="32"/>
      <c r="D36" s="32"/>
      <c r="E36" s="32"/>
      <c r="F36" s="32"/>
      <c r="G36" s="32"/>
      <c r="H36" s="32"/>
      <c r="I36" s="32"/>
      <c r="J36" s="32"/>
      <c r="Q36" s="49"/>
      <c r="R36" s="47"/>
      <c r="S36" s="32"/>
      <c r="T36" s="45"/>
    </row>
    <row r="37" spans="1:20" x14ac:dyDescent="0.2">
      <c r="A37" s="32"/>
      <c r="B37" s="50" t="s">
        <v>11</v>
      </c>
      <c r="C37" s="51" t="s">
        <v>5</v>
      </c>
      <c r="D37" s="52" t="s">
        <v>6</v>
      </c>
      <c r="E37" s="32"/>
      <c r="F37" s="50" t="s">
        <v>11</v>
      </c>
      <c r="G37" s="51" t="s">
        <v>5</v>
      </c>
      <c r="H37" s="52" t="s">
        <v>12</v>
      </c>
      <c r="I37" s="32"/>
      <c r="J37" s="32"/>
      <c r="Q37" s="49"/>
      <c r="R37" s="47"/>
      <c r="S37" s="32"/>
      <c r="T37" s="45"/>
    </row>
    <row r="38" spans="1:20" x14ac:dyDescent="0.2">
      <c r="A38" s="32"/>
      <c r="B38" s="54" t="s">
        <v>38</v>
      </c>
      <c r="C38" s="55">
        <v>20.333333333333332</v>
      </c>
      <c r="D38" s="56">
        <v>13</v>
      </c>
      <c r="E38" s="32"/>
      <c r="F38" s="54" t="s">
        <v>38</v>
      </c>
      <c r="G38" s="55">
        <v>20.333333333333332</v>
      </c>
      <c r="H38" s="56">
        <v>40255.666666666664</v>
      </c>
      <c r="I38" s="32"/>
      <c r="J38" s="32"/>
      <c r="Q38" s="49"/>
      <c r="R38" s="47"/>
      <c r="S38" s="32"/>
      <c r="T38" s="45"/>
    </row>
    <row r="39" spans="1:20" x14ac:dyDescent="0.2">
      <c r="A39" s="32"/>
      <c r="B39" s="54" t="s">
        <v>37</v>
      </c>
      <c r="C39" s="55">
        <v>-2</v>
      </c>
      <c r="D39" s="56">
        <v>-10.666666666666666</v>
      </c>
      <c r="E39" s="32"/>
      <c r="F39" s="54" t="s">
        <v>37</v>
      </c>
      <c r="G39" s="55">
        <v>-2</v>
      </c>
      <c r="H39" s="56">
        <v>21195.666666666668</v>
      </c>
      <c r="I39" s="32"/>
      <c r="J39" s="32"/>
      <c r="Q39" s="49"/>
      <c r="R39" s="47"/>
      <c r="S39" s="32"/>
      <c r="T39" s="45"/>
    </row>
    <row r="40" spans="1:20" x14ac:dyDescent="0.2">
      <c r="A40" s="32"/>
      <c r="B40" s="54" t="s">
        <v>36</v>
      </c>
      <c r="C40" s="55">
        <v>-15</v>
      </c>
      <c r="D40" s="56">
        <v>-12.333333333333334</v>
      </c>
      <c r="E40" s="32"/>
      <c r="F40" s="54" t="s">
        <v>36</v>
      </c>
      <c r="G40" s="55">
        <v>-15</v>
      </c>
      <c r="H40" s="56">
        <v>13965.333333333334</v>
      </c>
      <c r="I40" s="32"/>
      <c r="J40" s="32"/>
      <c r="Q40" s="49"/>
    </row>
    <row r="41" spans="1:20" x14ac:dyDescent="0.2">
      <c r="A41" s="32"/>
      <c r="B41" s="54" t="s">
        <v>35</v>
      </c>
      <c r="C41" s="55">
        <v>19.333333333333332</v>
      </c>
      <c r="D41" s="56">
        <v>0.66666666666666663</v>
      </c>
      <c r="E41" s="32"/>
      <c r="F41" s="54" t="s">
        <v>35</v>
      </c>
      <c r="G41" s="55">
        <v>19.333333333333332</v>
      </c>
      <c r="H41" s="56">
        <v>26829</v>
      </c>
      <c r="I41" s="32"/>
      <c r="J41" s="32"/>
    </row>
    <row r="42" spans="1:20" x14ac:dyDescent="0.2">
      <c r="A42" s="32"/>
      <c r="B42" s="54" t="s">
        <v>34</v>
      </c>
      <c r="C42" s="55">
        <v>-1.6666666666666667</v>
      </c>
      <c r="D42" s="56">
        <v>-7.666666666666667</v>
      </c>
      <c r="E42" s="32"/>
      <c r="F42" s="54" t="s">
        <v>34</v>
      </c>
      <c r="G42" s="55">
        <v>-1.6666666666666667</v>
      </c>
      <c r="H42" s="56">
        <v>16944.666666666668</v>
      </c>
      <c r="I42" s="32"/>
      <c r="J42" s="32"/>
    </row>
    <row r="43" spans="1:20" x14ac:dyDescent="0.2">
      <c r="A43" s="32"/>
      <c r="B43" s="54" t="s">
        <v>33</v>
      </c>
      <c r="C43" s="55">
        <v>3</v>
      </c>
      <c r="D43" s="56">
        <v>-4.333333333333333</v>
      </c>
      <c r="E43" s="32"/>
      <c r="F43" s="54" t="s">
        <v>33</v>
      </c>
      <c r="G43" s="55">
        <v>3</v>
      </c>
      <c r="H43" s="56">
        <v>26151</v>
      </c>
      <c r="I43" s="32"/>
      <c r="J43" s="32"/>
    </row>
    <row r="44" spans="1:20" x14ac:dyDescent="0.2">
      <c r="A44" s="32"/>
      <c r="B44" s="54" t="s">
        <v>32</v>
      </c>
      <c r="C44" s="55">
        <v>-8.6666666666666661</v>
      </c>
      <c r="D44" s="56">
        <v>-17.666666666666668</v>
      </c>
      <c r="E44" s="32"/>
      <c r="F44" s="54" t="s">
        <v>32</v>
      </c>
      <c r="G44" s="55">
        <v>-8.6666666666666661</v>
      </c>
      <c r="H44" s="56">
        <v>16294.666666666666</v>
      </c>
      <c r="I44" s="32"/>
      <c r="J44" s="32"/>
      <c r="K44" s="53"/>
      <c r="L44" s="53"/>
      <c r="M44" s="53"/>
    </row>
    <row r="45" spans="1:20" x14ac:dyDescent="0.2">
      <c r="A45" s="32"/>
      <c r="B45" s="54" t="s">
        <v>31</v>
      </c>
      <c r="C45" s="55">
        <v>28.666666666666668</v>
      </c>
      <c r="D45" s="56">
        <v>17.333333333333332</v>
      </c>
      <c r="E45" s="32"/>
      <c r="F45" s="54" t="s">
        <v>31</v>
      </c>
      <c r="G45" s="55">
        <v>28.666666666666668</v>
      </c>
      <c r="H45" s="56">
        <v>36599.666666666664</v>
      </c>
      <c r="I45" s="32"/>
      <c r="J45" s="32"/>
    </row>
    <row r="46" spans="1:20" x14ac:dyDescent="0.2">
      <c r="A46" s="32"/>
      <c r="B46" s="54" t="s">
        <v>30</v>
      </c>
      <c r="C46" s="55">
        <v>35.333333333333336</v>
      </c>
      <c r="D46" s="56">
        <v>26.333333333333332</v>
      </c>
      <c r="E46" s="32"/>
      <c r="F46" s="54" t="s">
        <v>30</v>
      </c>
      <c r="G46" s="55">
        <v>35.333333333333336</v>
      </c>
      <c r="H46" s="56">
        <v>35889.333333333336</v>
      </c>
      <c r="I46" s="32"/>
      <c r="J46" s="32"/>
    </row>
    <row r="47" spans="1:20" x14ac:dyDescent="0.2">
      <c r="A47" s="32"/>
      <c r="B47" s="54" t="s">
        <v>29</v>
      </c>
      <c r="C47" s="55">
        <v>7</v>
      </c>
      <c r="D47" s="56">
        <v>6</v>
      </c>
      <c r="E47" s="32"/>
      <c r="F47" s="54" t="s">
        <v>29</v>
      </c>
      <c r="G47" s="55">
        <v>7</v>
      </c>
      <c r="H47" s="56">
        <v>49519</v>
      </c>
      <c r="I47" s="32"/>
      <c r="J47" s="32"/>
    </row>
    <row r="48" spans="1:20" x14ac:dyDescent="0.2">
      <c r="A48" s="32"/>
      <c r="B48" s="54" t="s">
        <v>28</v>
      </c>
      <c r="C48" s="55">
        <v>6.333333333333333</v>
      </c>
      <c r="D48" s="56">
        <v>-6</v>
      </c>
      <c r="E48" s="32"/>
      <c r="F48" s="54" t="s">
        <v>28</v>
      </c>
      <c r="G48" s="55">
        <v>6.333333333333333</v>
      </c>
      <c r="H48" s="56">
        <v>34590.666666666664</v>
      </c>
      <c r="I48" s="32"/>
      <c r="J48" s="32"/>
    </row>
    <row r="49" spans="1:10" x14ac:dyDescent="0.2">
      <c r="A49" s="32"/>
      <c r="B49" s="54" t="s">
        <v>27</v>
      </c>
      <c r="C49" s="55">
        <v>14.666666666666666</v>
      </c>
      <c r="D49" s="56">
        <v>6.666666666666667</v>
      </c>
      <c r="E49" s="32"/>
      <c r="F49" s="54" t="s">
        <v>27</v>
      </c>
      <c r="G49" s="55">
        <v>14.666666666666666</v>
      </c>
      <c r="H49" s="56">
        <v>38776.666666666664</v>
      </c>
      <c r="I49" s="32"/>
      <c r="J49" s="32"/>
    </row>
    <row r="50" spans="1:10" x14ac:dyDescent="0.2">
      <c r="A50" s="32"/>
      <c r="B50" s="54" t="s">
        <v>26</v>
      </c>
      <c r="C50" s="55">
        <v>6</v>
      </c>
      <c r="D50" s="56">
        <v>-6.666666666666667</v>
      </c>
      <c r="E50" s="32"/>
      <c r="F50" s="54" t="s">
        <v>26</v>
      </c>
      <c r="G50" s="55">
        <v>6</v>
      </c>
      <c r="H50" s="56">
        <v>40511.666666666664</v>
      </c>
      <c r="I50" s="32"/>
      <c r="J50" s="32"/>
    </row>
    <row r="51" spans="1:10" x14ac:dyDescent="0.2">
      <c r="A51" s="32"/>
      <c r="B51" s="57" t="s">
        <v>25</v>
      </c>
      <c r="C51" s="58">
        <v>-0.33333333333333331</v>
      </c>
      <c r="D51" s="59">
        <v>-9.6666666666666661</v>
      </c>
      <c r="E51" s="32"/>
      <c r="F51" s="57" t="s">
        <v>25</v>
      </c>
      <c r="G51" s="58">
        <v>-0.33333333333333331</v>
      </c>
      <c r="H51" s="59">
        <v>20765.333333333332</v>
      </c>
      <c r="I51" s="32"/>
      <c r="J51" s="32"/>
    </row>
    <row r="52" spans="1:10" x14ac:dyDescent="0.2">
      <c r="A52" s="32"/>
      <c r="B52" s="45"/>
      <c r="C52" s="32"/>
      <c r="D52" s="32"/>
      <c r="E52" s="32"/>
      <c r="I52" s="32"/>
      <c r="J52" s="32"/>
    </row>
    <row r="53" spans="1:10" x14ac:dyDescent="0.2">
      <c r="A53" s="32"/>
      <c r="B53" s="64" t="s">
        <v>54</v>
      </c>
      <c r="C53" s="32"/>
      <c r="D53" s="32"/>
      <c r="E53" s="32"/>
      <c r="F53" s="64" t="s">
        <v>55</v>
      </c>
      <c r="I53" s="32"/>
      <c r="J53" s="32"/>
    </row>
  </sheetData>
  <mergeCells count="3">
    <mergeCell ref="B5:D5"/>
    <mergeCell ref="F5:H5"/>
    <mergeCell ref="J5:L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EDA LL</vt:lpstr>
      <vt:lpstr>EDA PL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Fajardo, Jennifer</dc:creator>
  <cp:lastModifiedBy>Fajardo, Jennifer</cp:lastModifiedBy>
  <dcterms:created xsi:type="dcterms:W3CDTF">2025-12-15T20:57:11Z</dcterms:created>
  <dcterms:modified xsi:type="dcterms:W3CDTF">2025-12-21T17:06:29Z</dcterms:modified>
</cp:coreProperties>
</file>