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"/>
    </mc:Choice>
  </mc:AlternateContent>
  <xr:revisionPtr revIDLastSave="0" documentId="13_ncr:1_{3F7C9F73-0C8B-4047-883B-3765BB6CFE61}" xr6:coauthVersionLast="47" xr6:coauthVersionMax="47" xr10:uidLastSave="{00000000-0000-0000-0000-000000000000}"/>
  <bookViews>
    <workbookView xWindow="0" yWindow="0" windowWidth="28800" windowHeight="18000" activeTab="3" xr2:uid="{753F4A86-EA0E-8440-9EA2-C74E31BAE534}"/>
  </bookViews>
  <sheets>
    <sheet name="Raw Data" sheetId="1" r:id="rId1"/>
    <sheet name="Clean Data LL" sheetId="8" r:id="rId2"/>
    <sheet name="Clean Data PL" sheetId="9" r:id="rId3"/>
    <sheet name="Data Diction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" i="9" l="1"/>
  <c r="V21" i="9"/>
  <c r="Z20" i="9"/>
  <c r="V20" i="9"/>
  <c r="Z19" i="9"/>
  <c r="V19" i="9"/>
  <c r="Z18" i="9"/>
  <c r="V18" i="9"/>
  <c r="Z17" i="9"/>
  <c r="V17" i="9"/>
  <c r="Z16" i="9"/>
  <c r="V16" i="9"/>
  <c r="Z15" i="9"/>
  <c r="V15" i="9"/>
  <c r="Z14" i="9"/>
  <c r="V14" i="9"/>
  <c r="Z13" i="9"/>
  <c r="V13" i="9"/>
  <c r="Z12" i="9"/>
  <c r="V12" i="9"/>
  <c r="Z11" i="9"/>
  <c r="V11" i="9"/>
  <c r="Z10" i="9"/>
  <c r="V10" i="9"/>
  <c r="Z9" i="9"/>
  <c r="V9" i="9"/>
  <c r="Z8" i="9"/>
  <c r="V8" i="9"/>
  <c r="R21" i="9"/>
  <c r="N21" i="9"/>
  <c r="R20" i="9"/>
  <c r="N20" i="9"/>
  <c r="R19" i="9"/>
  <c r="N19" i="9"/>
  <c r="R18" i="9"/>
  <c r="N18" i="9"/>
  <c r="R17" i="9"/>
  <c r="N17" i="9"/>
  <c r="R16" i="9"/>
  <c r="N16" i="9"/>
  <c r="R15" i="9"/>
  <c r="N15" i="9"/>
  <c r="R14" i="9"/>
  <c r="N14" i="9"/>
  <c r="R13" i="9"/>
  <c r="N13" i="9"/>
  <c r="R12" i="9"/>
  <c r="N12" i="9"/>
  <c r="R11" i="9"/>
  <c r="N11" i="9"/>
  <c r="R10" i="9"/>
  <c r="N10" i="9"/>
  <c r="R9" i="9"/>
  <c r="N9" i="9"/>
  <c r="R8" i="9"/>
  <c r="N8" i="9"/>
  <c r="J21" i="9"/>
  <c r="F21" i="9"/>
  <c r="J20" i="9"/>
  <c r="F20" i="9"/>
  <c r="J19" i="9"/>
  <c r="F19" i="9"/>
  <c r="J18" i="9"/>
  <c r="F18" i="9"/>
  <c r="J17" i="9"/>
  <c r="F17" i="9"/>
  <c r="J16" i="9"/>
  <c r="F16" i="9"/>
  <c r="J15" i="9"/>
  <c r="F15" i="9"/>
  <c r="J14" i="9"/>
  <c r="F14" i="9"/>
  <c r="J13" i="9"/>
  <c r="F13" i="9"/>
  <c r="J12" i="9"/>
  <c r="F12" i="9"/>
  <c r="J11" i="9"/>
  <c r="F11" i="9"/>
  <c r="J10" i="9"/>
  <c r="F10" i="9"/>
  <c r="J9" i="9"/>
  <c r="F9" i="9"/>
  <c r="J8" i="9"/>
  <c r="F8" i="9"/>
  <c r="J15" i="8"/>
  <c r="F16" i="8"/>
  <c r="F8" i="8"/>
  <c r="Z19" i="8"/>
  <c r="V19" i="8"/>
  <c r="Z18" i="8"/>
  <c r="V18" i="8"/>
  <c r="Z17" i="8"/>
  <c r="V17" i="8"/>
  <c r="Z16" i="8"/>
  <c r="V16" i="8"/>
  <c r="Z15" i="8"/>
  <c r="V15" i="8"/>
  <c r="Z14" i="8"/>
  <c r="V14" i="8"/>
  <c r="Z13" i="8"/>
  <c r="V13" i="8"/>
  <c r="Z12" i="8"/>
  <c r="V12" i="8"/>
  <c r="Z11" i="8"/>
  <c r="V11" i="8"/>
  <c r="Z10" i="8"/>
  <c r="V10" i="8"/>
  <c r="Z9" i="8"/>
  <c r="V9" i="8"/>
  <c r="Z8" i="8"/>
  <c r="V8" i="8"/>
  <c r="R19" i="8"/>
  <c r="N19" i="8"/>
  <c r="R18" i="8"/>
  <c r="N18" i="8"/>
  <c r="R17" i="8"/>
  <c r="N17" i="8"/>
  <c r="R16" i="8"/>
  <c r="N16" i="8"/>
  <c r="R15" i="8"/>
  <c r="N15" i="8"/>
  <c r="R14" i="8"/>
  <c r="N14" i="8"/>
  <c r="R13" i="8"/>
  <c r="N13" i="8"/>
  <c r="R12" i="8"/>
  <c r="N12" i="8"/>
  <c r="R11" i="8"/>
  <c r="N11" i="8"/>
  <c r="R10" i="8"/>
  <c r="N10" i="8"/>
  <c r="R9" i="8"/>
  <c r="N9" i="8"/>
  <c r="R8" i="8"/>
  <c r="N8" i="8"/>
  <c r="J19" i="8"/>
  <c r="F19" i="8"/>
  <c r="J18" i="8"/>
  <c r="F18" i="8"/>
  <c r="J17" i="8"/>
  <c r="F17" i="8"/>
  <c r="J16" i="8"/>
  <c r="F15" i="8"/>
  <c r="J14" i="8"/>
  <c r="F14" i="8"/>
  <c r="J13" i="8"/>
  <c r="F13" i="8"/>
  <c r="J12" i="8"/>
  <c r="F12" i="8"/>
  <c r="J11" i="8"/>
  <c r="F11" i="8"/>
  <c r="J10" i="8"/>
  <c r="F10" i="8"/>
  <c r="J9" i="8"/>
  <c r="F9" i="8"/>
  <c r="J8" i="8"/>
  <c r="G45" i="8"/>
  <c r="K45" i="8"/>
  <c r="G46" i="8"/>
  <c r="K46" i="8"/>
  <c r="G49" i="8"/>
  <c r="K49" i="8"/>
  <c r="G50" i="8"/>
  <c r="K50" i="8"/>
  <c r="G51" i="8"/>
  <c r="K51" i="8"/>
  <c r="G52" i="8"/>
  <c r="K52" i="8"/>
  <c r="G53" i="8"/>
  <c r="K53" i="8"/>
  <c r="G54" i="8"/>
  <c r="K54" i="8"/>
  <c r="G55" i="8"/>
  <c r="K55" i="8"/>
  <c r="G56" i="8"/>
  <c r="K56" i="8"/>
  <c r="G57" i="8"/>
  <c r="K57" i="8"/>
  <c r="G58" i="8"/>
  <c r="K58" i="8"/>
  <c r="G59" i="8"/>
  <c r="K59" i="8"/>
  <c r="G60" i="8"/>
  <c r="K60" i="8"/>
  <c r="G61" i="8"/>
  <c r="K61" i="8"/>
  <c r="G62" i="8"/>
  <c r="K62" i="8"/>
  <c r="G63" i="8"/>
  <c r="K63" i="8"/>
  <c r="G64" i="8"/>
  <c r="K64" i="8"/>
  <c r="G65" i="8"/>
  <c r="K65" i="8"/>
  <c r="G66" i="8"/>
  <c r="K66" i="8"/>
  <c r="G67" i="8"/>
  <c r="K67" i="8"/>
  <c r="G68" i="8"/>
  <c r="K68" i="8"/>
  <c r="K92" i="9"/>
  <c r="G92" i="9"/>
  <c r="K91" i="9"/>
  <c r="G91" i="9"/>
  <c r="K90" i="9"/>
  <c r="G90" i="9"/>
  <c r="K89" i="9"/>
  <c r="G89" i="9"/>
  <c r="K88" i="9"/>
  <c r="G88" i="9"/>
  <c r="K87" i="9"/>
  <c r="G87" i="9"/>
  <c r="K86" i="9"/>
  <c r="G86" i="9"/>
  <c r="K85" i="9"/>
  <c r="G85" i="9"/>
  <c r="K84" i="9"/>
  <c r="G84" i="9"/>
  <c r="K83" i="9"/>
  <c r="G83" i="9"/>
  <c r="K82" i="9"/>
  <c r="G82" i="9"/>
  <c r="K81" i="9"/>
  <c r="G81" i="9"/>
  <c r="K80" i="9"/>
  <c r="G80" i="9"/>
  <c r="K79" i="9"/>
  <c r="G79" i="9"/>
  <c r="K78" i="9"/>
  <c r="G78" i="9"/>
  <c r="K77" i="9"/>
  <c r="G77" i="9"/>
  <c r="K76" i="9"/>
  <c r="G76" i="9"/>
  <c r="K75" i="9"/>
  <c r="G75" i="9"/>
  <c r="K74" i="9"/>
  <c r="G74" i="9"/>
  <c r="K73" i="9"/>
  <c r="G73" i="9"/>
  <c r="K70" i="9"/>
  <c r="G70" i="9"/>
  <c r="K69" i="9"/>
  <c r="G69" i="9"/>
  <c r="K68" i="9"/>
  <c r="G68" i="9"/>
  <c r="K67" i="9"/>
  <c r="G67" i="9"/>
  <c r="K66" i="9"/>
  <c r="G66" i="9"/>
  <c r="K65" i="9"/>
  <c r="G65" i="9"/>
  <c r="K64" i="9"/>
  <c r="G64" i="9"/>
  <c r="K63" i="9"/>
  <c r="G63" i="9"/>
  <c r="K62" i="9"/>
  <c r="G62" i="9"/>
  <c r="K61" i="9"/>
  <c r="G61" i="9"/>
  <c r="K60" i="9"/>
  <c r="G60" i="9"/>
  <c r="K59" i="9"/>
  <c r="G59" i="9"/>
  <c r="K58" i="9"/>
  <c r="G58" i="9"/>
  <c r="K57" i="9"/>
  <c r="G57" i="9"/>
  <c r="K56" i="9"/>
  <c r="G56" i="9"/>
  <c r="K55" i="9"/>
  <c r="G55" i="9"/>
  <c r="K54" i="9"/>
  <c r="G54" i="9"/>
  <c r="K53" i="9"/>
  <c r="G53" i="9"/>
  <c r="K52" i="9"/>
  <c r="G52" i="9"/>
  <c r="K51" i="9"/>
  <c r="G51" i="9"/>
  <c r="K48" i="9"/>
  <c r="G48" i="9"/>
  <c r="K47" i="9"/>
  <c r="G47" i="9"/>
  <c r="K46" i="9"/>
  <c r="G46" i="9"/>
  <c r="K45" i="9"/>
  <c r="G45" i="9"/>
  <c r="K44" i="9"/>
  <c r="G44" i="9"/>
  <c r="K43" i="9"/>
  <c r="G43" i="9"/>
  <c r="K42" i="9"/>
  <c r="G42" i="9"/>
  <c r="K41" i="9"/>
  <c r="G41" i="9"/>
  <c r="K40" i="9"/>
  <c r="G40" i="9"/>
  <c r="K39" i="9"/>
  <c r="G39" i="9"/>
  <c r="K38" i="9"/>
  <c r="G38" i="9"/>
  <c r="K37" i="9"/>
  <c r="G37" i="9"/>
  <c r="K36" i="9"/>
  <c r="G36" i="9"/>
  <c r="K35" i="9"/>
  <c r="G35" i="9"/>
  <c r="K34" i="9"/>
  <c r="G34" i="9"/>
  <c r="K33" i="9"/>
  <c r="G33" i="9"/>
  <c r="K32" i="9"/>
  <c r="G32" i="9"/>
  <c r="K31" i="9"/>
  <c r="G31" i="9"/>
  <c r="K30" i="9"/>
  <c r="G30" i="9"/>
  <c r="K29" i="9"/>
  <c r="G29" i="9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</calcChain>
</file>

<file path=xl/sharedStrings.xml><?xml version="1.0" encoding="utf-8"?>
<sst xmlns="http://schemas.openxmlformats.org/spreadsheetml/2006/main" count="610" uniqueCount="106">
  <si>
    <t> Manchester City</t>
  </si>
  <si>
    <t> Liverpool</t>
  </si>
  <si>
    <t> Chelsea</t>
  </si>
  <si>
    <t> Tottenham</t>
  </si>
  <si>
    <t> Arsenal</t>
  </si>
  <si>
    <t> Manchester Utd</t>
  </si>
  <si>
    <t> Wolves</t>
  </si>
  <si>
    <t> Everton</t>
  </si>
  <si>
    <t> Leicester City</t>
  </si>
  <si>
    <t> West Ham</t>
  </si>
  <si>
    <t> Watford</t>
  </si>
  <si>
    <t> Crystal Palace</t>
  </si>
  <si>
    <t> Newcastle Utd</t>
  </si>
  <si>
    <t> Bournemouth</t>
  </si>
  <si>
    <t> Burnley</t>
  </si>
  <si>
    <t> Southampton</t>
  </si>
  <si>
    <t> Brighton</t>
  </si>
  <si>
    <t> Cardiff City</t>
  </si>
  <si>
    <t> Fulham</t>
  </si>
  <si>
    <t> Huddersfield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</si>
  <si>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</si>
  <si>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</si>
  <si>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</si>
  <si>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</si>
  <si>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</si>
  <si>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</si>
  <si>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</si>
  <si>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</si>
  <si>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</si>
  <si>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</si>
  <si>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</si>
  <si>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xG</t>
  </si>
  <si>
    <t>xGA</t>
  </si>
  <si>
    <t>xGD</t>
  </si>
  <si>
    <t>xGD/90</t>
  </si>
  <si>
    <t>Home</t>
  </si>
  <si>
    <t>Away</t>
  </si>
  <si>
    <t>Attendance</t>
  </si>
  <si>
    <t>2018-19</t>
  </si>
  <si>
    <t>▲</t>
  </si>
  <si>
    <t> Aston Villa</t>
  </si>
  <si>
    <t> Sheffield Utd</t>
  </si>
  <si>
    <t>2020-21</t>
  </si>
  <si>
    <t> Leeds United</t>
  </si>
  <si>
    <t> West Brom</t>
  </si>
  <si>
    <t> Brentford</t>
  </si>
  <si>
    <t>2023-24</t>
  </si>
  <si>
    <t> Luton Town</t>
  </si>
  <si>
    <t> Nott'ham Forest</t>
  </si>
  <si>
    <t> Alavés</t>
  </si>
  <si>
    <t> Almería</t>
  </si>
  <si>
    <t> Athletic Club</t>
  </si>
  <si>
    <t> Atlético Madrid</t>
  </si>
  <si>
    <t> Barcelona</t>
  </si>
  <si>
    <t> Betis</t>
  </si>
  <si>
    <t> Cádiz</t>
  </si>
  <si>
    <t> Celta Vigo</t>
  </si>
  <si>
    <t> Getafe</t>
  </si>
  <si>
    <t> Girona</t>
  </si>
  <si>
    <t> Granada</t>
  </si>
  <si>
    <t> Las Palmas</t>
  </si>
  <si>
    <t> Mallorca</t>
  </si>
  <si>
    <t> Osasuna</t>
  </si>
  <si>
    <t> Rayo Vallecano</t>
  </si>
  <si>
    <t> Real Madrid</t>
  </si>
  <si>
    <t> Real Sociedad</t>
  </si>
  <si>
    <t> Sevilla</t>
  </si>
  <si>
    <t> Valencia</t>
  </si>
  <si>
    <t> Villarreal</t>
  </si>
  <si>
    <t> Eibar</t>
  </si>
  <si>
    <t> Elche</t>
  </si>
  <si>
    <t> Huesca</t>
  </si>
  <si>
    <t> Levante</t>
  </si>
  <si>
    <t> Valladolid</t>
  </si>
  <si>
    <t> Espanyol</t>
  </si>
  <si>
    <t> Leganés</t>
  </si>
  <si>
    <t>Home GD</t>
  </si>
  <si>
    <t>Away GD</t>
  </si>
  <si>
    <t>WP</t>
  </si>
  <si>
    <t>PREMIER LEAGUE</t>
  </si>
  <si>
    <t>LA LIGA</t>
  </si>
  <si>
    <t>PG</t>
  </si>
  <si>
    <t>*teams that played in all 3 seasons (14/20)</t>
  </si>
  <si>
    <t>*all 20 teams per season</t>
  </si>
  <si>
    <t>*teams that played in all 3 seasons (12/20)</t>
  </si>
  <si>
    <t>DATA DICTIONARY</t>
  </si>
  <si>
    <t>Attendance/Game: home attendance per game during that season</t>
  </si>
  <si>
    <t>team name</t>
  </si>
  <si>
    <t>All Premier League or La Liga team names</t>
  </si>
  <si>
    <t>Features</t>
  </si>
  <si>
    <t>Description</t>
  </si>
  <si>
    <t>Range</t>
  </si>
  <si>
    <t>Win Percentage: how often the team won at home that season (home wins ÷ total home games)</t>
  </si>
  <si>
    <t>Matches Played: total home games played by the team that season</t>
  </si>
  <si>
    <t>Wins: total home wins by the team that season</t>
  </si>
  <si>
    <t>Points/Match: home points earned per home games played that season (3 for win, 1 for draw, 0 for loss)</t>
  </si>
  <si>
    <t>(.47, 2.84)</t>
  </si>
  <si>
    <t>(5.26%, 94.74%)</t>
  </si>
  <si>
    <t>(2, 18)</t>
  </si>
  <si>
    <t>(91, 76104)</t>
  </si>
  <si>
    <t>Home Goal Difference: goals a team scores at home vs. concedes (home goals for - home goals against)</t>
  </si>
  <si>
    <t>Away Goal Difference: goals a team scores away vs. concedes (away goals for - away goals against)</t>
  </si>
  <si>
    <t>(-38, 45)</t>
  </si>
  <si>
    <t>(-33, 30)</t>
  </si>
  <si>
    <t>(-11, 31)</t>
  </si>
  <si>
    <t>Performance Gap: how much better teams play at home vs away (home goal differential - away goal differential)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</si>
</sst>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.5"/>
      <color theme="1"/>
      <name val="Verdana"/>
      <family val="2"/>
    </font>
    <font>
      <b/>
      <sz val="9.5"/>
      <color rgb="FF990000"/>
      <name val="Verdana"/>
      <family val="2"/>
    </font>
    <font>
      <u/>
      <sz val="9.5"/>
      <color theme="10"/>
      <name val="Verdana"/>
      <family val="2"/>
    </font>
    <font>
      <sz val="9.5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u/>
      <sz val="12"/>
      <name val="Verdana"/>
      <family val="2"/>
    </font>
    <font>
      <i/>
      <sz val="12"/>
      <name val="Verdana"/>
      <family val="2"/>
    </font>
    <font>
      <b/>
      <u/>
      <sz val="12"/>
      <color theme="1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2" applyFont="1" applyFill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3" fontId="6" fillId="0" borderId="0" xfId="0" applyNumberFormat="1" applyFont="1"/>
    <xf numFmtId="0" fontId="8" fillId="2" borderId="5" xfId="0" applyFont="1" applyFill="1" applyBorder="1" applyAlignment="1">
      <alignment horizontal="center" vertical="center"/>
    </xf>
    <xf numFmtId="3" fontId="7" fillId="0" borderId="5" xfId="0" applyNumberFormat="1" applyFont="1" applyBorder="1"/>
    <xf numFmtId="0" fontId="7" fillId="0" borderId="5" xfId="0" applyFont="1" applyBorder="1"/>
    <xf numFmtId="3" fontId="7" fillId="0" borderId="8" xfId="0" applyNumberFormat="1" applyFont="1" applyBorder="1"/>
    <xf numFmtId="0" fontId="7" fillId="0" borderId="8" xfId="0" applyFont="1" applyBorder="1"/>
    <xf numFmtId="3" fontId="7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3" xfId="0" applyNumberFormat="1" applyFont="1" applyBorder="1"/>
    <xf numFmtId="0" fontId="7" fillId="0" borderId="12" xfId="0" applyFont="1" applyBorder="1"/>
    <xf numFmtId="3" fontId="7" fillId="0" borderId="14" xfId="0" applyNumberFormat="1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3" xfId="0" applyFont="1" applyBorder="1"/>
    <xf numFmtId="0" fontId="7" fillId="0" borderId="14" xfId="0" applyFont="1" applyBorder="1"/>
    <xf numFmtId="0" fontId="8" fillId="0" borderId="0" xfId="0" applyFont="1" applyAlignment="1">
      <alignment vertical="center" textRotation="90"/>
    </xf>
    <xf numFmtId="0" fontId="7" fillId="0" borderId="4" xfId="0" applyFont="1" applyBorder="1"/>
    <xf numFmtId="0" fontId="8" fillId="2" borderId="12" xfId="0" applyFont="1" applyFill="1" applyBorder="1" applyAlignment="1">
      <alignment horizontal="center" vertical="center"/>
    </xf>
    <xf numFmtId="10" fontId="7" fillId="0" borderId="5" xfId="1" applyNumberFormat="1" applyFont="1" applyFill="1" applyBorder="1"/>
    <xf numFmtId="0" fontId="8" fillId="4" borderId="13" xfId="0" applyFont="1" applyFill="1" applyBorder="1" applyAlignment="1">
      <alignment horizontal="center" vertical="center"/>
    </xf>
    <xf numFmtId="0" fontId="9" fillId="0" borderId="0" xfId="0" applyFont="1"/>
    <xf numFmtId="0" fontId="7" fillId="0" borderId="7" xfId="0" applyFont="1" applyBorder="1"/>
    <xf numFmtId="0" fontId="10" fillId="0" borderId="0" xfId="0" applyFont="1"/>
    <xf numFmtId="0" fontId="8" fillId="0" borderId="0" xfId="0" applyFont="1"/>
    <xf numFmtId="10" fontId="7" fillId="0" borderId="0" xfId="1" applyNumberFormat="1" applyFont="1" applyFill="1"/>
    <xf numFmtId="10" fontId="7" fillId="0" borderId="5" xfId="0" applyNumberFormat="1" applyFont="1" applyBorder="1"/>
    <xf numFmtId="10" fontId="7" fillId="0" borderId="0" xfId="0" applyNumberFormat="1" applyFont="1"/>
    <xf numFmtId="4" fontId="7" fillId="0" borderId="0" xfId="0" applyNumberFormat="1" applyFont="1"/>
    <xf numFmtId="0" fontId="7" fillId="0" borderId="6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10" fontId="7" fillId="0" borderId="15" xfId="0" applyNumberFormat="1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0" fontId="7" fillId="0" borderId="8" xfId="1" applyNumberFormat="1" applyFont="1" applyFill="1" applyBorder="1"/>
    <xf numFmtId="10" fontId="7" fillId="0" borderId="0" xfId="1" applyNumberFormat="1" applyFont="1" applyFill="1" applyBorder="1"/>
    <xf numFmtId="3" fontId="7" fillId="0" borderId="13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10" fontId="7" fillId="0" borderId="5" xfId="0" applyNumberFormat="1" applyFont="1" applyBorder="1" applyAlignment="1">
      <alignment horizontal="right"/>
    </xf>
    <xf numFmtId="0" fontId="7" fillId="0" borderId="12" xfId="0" applyFont="1" applyBorder="1" applyAlignment="1">
      <alignment horizontal="right" vertical="center"/>
    </xf>
    <xf numFmtId="3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7" fillId="0" borderId="16" xfId="0" applyFont="1" applyBorder="1" applyAlignment="1">
      <alignment horizontal="right" vertical="center"/>
    </xf>
    <xf numFmtId="10" fontId="7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0" fontId="7" fillId="0" borderId="15" xfId="0" applyNumberFormat="1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10" fontId="7" fillId="0" borderId="5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10" fontId="7" fillId="0" borderId="1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3" fontId="12" fillId="0" borderId="6" xfId="0" quotePrefix="1" applyNumberFormat="1" applyFont="1" applyBorder="1" applyAlignment="1">
      <alignment horizontal="left" vertical="center" wrapText="1"/>
    </xf>
    <xf numFmtId="0" fontId="12" fillId="0" borderId="6" xfId="0" quotePrefix="1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quotePrefix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3" fontId="7" fillId="3" borderId="20" xfId="0" applyNumberFormat="1" applyFont="1" applyFill="1" applyBorder="1" applyAlignment="1">
      <alignment horizontal="center"/>
    </xf>
    <xf numFmtId="3" fontId="7" fillId="3" borderId="18" xfId="0" applyNumberFormat="1" applyFont="1" applyFill="1" applyBorder="1" applyAlignment="1">
      <alignment horizontal="center"/>
    </xf>
    <xf numFmtId="3" fontId="7" fillId="3" borderId="19" xfId="0" applyNumberFormat="1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0000"/>
      <color rgb="FFFFFD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165100</xdr:colOff>
      <xdr:row>4</xdr:row>
      <xdr:rowOff>0</xdr:rowOff>
    </xdr:to>
    <xdr:pic>
      <xdr:nvPicPr>
        <xdr:cNvPr id="42" name="Picture 41" descr="Club Crest">
          <a:extLst>
            <a:ext uri="{FF2B5EF4-FFF2-40B4-BE49-F238E27FC236}">
              <a16:creationId xmlns:a16="http://schemas.microsoft.com/office/drawing/2014/main" id="{3A5FB0B4-310F-65CF-4275-2933DA50B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0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165100</xdr:colOff>
      <xdr:row>5</xdr:row>
      <xdr:rowOff>0</xdr:rowOff>
    </xdr:to>
    <xdr:pic>
      <xdr:nvPicPr>
        <xdr:cNvPr id="43" name="Picture 42" descr="Club Crest">
          <a:extLst>
            <a:ext uri="{FF2B5EF4-FFF2-40B4-BE49-F238E27FC236}">
              <a16:creationId xmlns:a16="http://schemas.microsoft.com/office/drawing/2014/main" id="{D616BCDC-931E-9FA2-2040-D713BC77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1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165100</xdr:colOff>
      <xdr:row>6</xdr:row>
      <xdr:rowOff>0</xdr:rowOff>
    </xdr:to>
    <xdr:pic>
      <xdr:nvPicPr>
        <xdr:cNvPr id="44" name="Picture 43" descr="Club Crest">
          <a:extLst>
            <a:ext uri="{FF2B5EF4-FFF2-40B4-BE49-F238E27FC236}">
              <a16:creationId xmlns:a16="http://schemas.microsoft.com/office/drawing/2014/main" id="{1BACF346-32D2-E5CC-B929-B2629CD5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165100</xdr:colOff>
      <xdr:row>7</xdr:row>
      <xdr:rowOff>0</xdr:rowOff>
    </xdr:to>
    <xdr:pic>
      <xdr:nvPicPr>
        <xdr:cNvPr id="45" name="Picture 44" descr="Club Crest">
          <a:extLst>
            <a:ext uri="{FF2B5EF4-FFF2-40B4-BE49-F238E27FC236}">
              <a16:creationId xmlns:a16="http://schemas.microsoft.com/office/drawing/2014/main" id="{82602903-80D0-D32A-1B24-82DF7A5DF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165100</xdr:colOff>
      <xdr:row>8</xdr:row>
      <xdr:rowOff>0</xdr:rowOff>
    </xdr:to>
    <xdr:pic>
      <xdr:nvPicPr>
        <xdr:cNvPr id="46" name="Picture 45" descr="Club Crest">
          <a:extLst>
            <a:ext uri="{FF2B5EF4-FFF2-40B4-BE49-F238E27FC236}">
              <a16:creationId xmlns:a16="http://schemas.microsoft.com/office/drawing/2014/main" id="{5D099EE4-A574-A32E-49A1-2471A966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2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165100</xdr:colOff>
      <xdr:row>9</xdr:row>
      <xdr:rowOff>0</xdr:rowOff>
    </xdr:to>
    <xdr:pic>
      <xdr:nvPicPr>
        <xdr:cNvPr id="47" name="Picture 46" descr="Club Crest">
          <a:extLst>
            <a:ext uri="{FF2B5EF4-FFF2-40B4-BE49-F238E27FC236}">
              <a16:creationId xmlns:a16="http://schemas.microsoft.com/office/drawing/2014/main" id="{911BB4F3-3A23-A90B-4DB1-B421A0303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165100</xdr:colOff>
      <xdr:row>10</xdr:row>
      <xdr:rowOff>0</xdr:rowOff>
    </xdr:to>
    <xdr:pic>
      <xdr:nvPicPr>
        <xdr:cNvPr id="48" name="Picture 47" descr="Club Crest">
          <a:extLst>
            <a:ext uri="{FF2B5EF4-FFF2-40B4-BE49-F238E27FC236}">
              <a16:creationId xmlns:a16="http://schemas.microsoft.com/office/drawing/2014/main" id="{8C69F9FB-6AA5-784B-F509-C2874DFF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2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165100</xdr:colOff>
      <xdr:row>11</xdr:row>
      <xdr:rowOff>0</xdr:rowOff>
    </xdr:to>
    <xdr:pic>
      <xdr:nvPicPr>
        <xdr:cNvPr id="49" name="Picture 48" descr="Club Crest">
          <a:extLst>
            <a:ext uri="{FF2B5EF4-FFF2-40B4-BE49-F238E27FC236}">
              <a16:creationId xmlns:a16="http://schemas.microsoft.com/office/drawing/2014/main" id="{FE1F3796-6BF4-0FBF-D618-F2580C2E2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3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165100</xdr:colOff>
      <xdr:row>12</xdr:row>
      <xdr:rowOff>0</xdr:rowOff>
    </xdr:to>
    <xdr:pic>
      <xdr:nvPicPr>
        <xdr:cNvPr id="50" name="Picture 49" descr="Club Crest">
          <a:extLst>
            <a:ext uri="{FF2B5EF4-FFF2-40B4-BE49-F238E27FC236}">
              <a16:creationId xmlns:a16="http://schemas.microsoft.com/office/drawing/2014/main" id="{F0EAE2AC-615F-0A47-CA26-03F29E60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3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165100</xdr:colOff>
      <xdr:row>13</xdr:row>
      <xdr:rowOff>0</xdr:rowOff>
    </xdr:to>
    <xdr:pic>
      <xdr:nvPicPr>
        <xdr:cNvPr id="51" name="Picture 50" descr="Club Crest">
          <a:extLst>
            <a:ext uri="{FF2B5EF4-FFF2-40B4-BE49-F238E27FC236}">
              <a16:creationId xmlns:a16="http://schemas.microsoft.com/office/drawing/2014/main" id="{90359E33-BF87-38F0-4328-00D0A841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3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165100</xdr:colOff>
      <xdr:row>14</xdr:row>
      <xdr:rowOff>0</xdr:rowOff>
    </xdr:to>
    <xdr:pic>
      <xdr:nvPicPr>
        <xdr:cNvPr id="52" name="Picture 51" descr="Club Crest">
          <a:extLst>
            <a:ext uri="{FF2B5EF4-FFF2-40B4-BE49-F238E27FC236}">
              <a16:creationId xmlns:a16="http://schemas.microsoft.com/office/drawing/2014/main" id="{13771E94-CAD3-FC94-12BA-46F0C646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4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165100</xdr:colOff>
      <xdr:row>15</xdr:row>
      <xdr:rowOff>0</xdr:rowOff>
    </xdr:to>
    <xdr:pic>
      <xdr:nvPicPr>
        <xdr:cNvPr id="53" name="Picture 52" descr="Club Crest">
          <a:extLst>
            <a:ext uri="{FF2B5EF4-FFF2-40B4-BE49-F238E27FC236}">
              <a16:creationId xmlns:a16="http://schemas.microsoft.com/office/drawing/2014/main" id="{348663E7-CB60-F876-37F5-4C47883F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4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165100</xdr:colOff>
      <xdr:row>16</xdr:row>
      <xdr:rowOff>0</xdr:rowOff>
    </xdr:to>
    <xdr:pic>
      <xdr:nvPicPr>
        <xdr:cNvPr id="54" name="Picture 53" descr="Club Crest">
          <a:extLst>
            <a:ext uri="{FF2B5EF4-FFF2-40B4-BE49-F238E27FC236}">
              <a16:creationId xmlns:a16="http://schemas.microsoft.com/office/drawing/2014/main" id="{12B180EA-C13B-2D00-12CA-88143C913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165100</xdr:colOff>
      <xdr:row>17</xdr:row>
      <xdr:rowOff>0</xdr:rowOff>
    </xdr:to>
    <xdr:pic>
      <xdr:nvPicPr>
        <xdr:cNvPr id="55" name="Picture 54" descr="Club Crest">
          <a:extLst>
            <a:ext uri="{FF2B5EF4-FFF2-40B4-BE49-F238E27FC236}">
              <a16:creationId xmlns:a16="http://schemas.microsoft.com/office/drawing/2014/main" id="{310C31D4-D078-ACC2-3844-26207E83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5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165100</xdr:colOff>
      <xdr:row>18</xdr:row>
      <xdr:rowOff>0</xdr:rowOff>
    </xdr:to>
    <xdr:pic>
      <xdr:nvPicPr>
        <xdr:cNvPr id="56" name="Picture 55" descr="Club Crest">
          <a:extLst>
            <a:ext uri="{FF2B5EF4-FFF2-40B4-BE49-F238E27FC236}">
              <a16:creationId xmlns:a16="http://schemas.microsoft.com/office/drawing/2014/main" id="{2C74D2FC-7CF0-550E-8EE2-1E545AB77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5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165100</xdr:colOff>
      <xdr:row>19</xdr:row>
      <xdr:rowOff>0</xdr:rowOff>
    </xdr:to>
    <xdr:pic>
      <xdr:nvPicPr>
        <xdr:cNvPr id="57" name="Picture 56" descr="Club Crest">
          <a:extLst>
            <a:ext uri="{FF2B5EF4-FFF2-40B4-BE49-F238E27FC236}">
              <a16:creationId xmlns:a16="http://schemas.microsoft.com/office/drawing/2014/main" id="{FB1AEF8D-5F31-FEE7-02FC-C5950DF3C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57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165100</xdr:colOff>
      <xdr:row>20</xdr:row>
      <xdr:rowOff>0</xdr:rowOff>
    </xdr:to>
    <xdr:pic>
      <xdr:nvPicPr>
        <xdr:cNvPr id="58" name="Picture 57" descr="Club Crest">
          <a:extLst>
            <a:ext uri="{FF2B5EF4-FFF2-40B4-BE49-F238E27FC236}">
              <a16:creationId xmlns:a16="http://schemas.microsoft.com/office/drawing/2014/main" id="{60F669B5-20A2-922E-AA70-CB41B94B2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6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165100</xdr:colOff>
      <xdr:row>21</xdr:row>
      <xdr:rowOff>0</xdr:rowOff>
    </xdr:to>
    <xdr:pic>
      <xdr:nvPicPr>
        <xdr:cNvPr id="59" name="Picture 58" descr="Club Crest">
          <a:extLst>
            <a:ext uri="{FF2B5EF4-FFF2-40B4-BE49-F238E27FC236}">
              <a16:creationId xmlns:a16="http://schemas.microsoft.com/office/drawing/2014/main" id="{4E92BD89-1403-04C9-AA6D-5DAE18E0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64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165100</xdr:colOff>
      <xdr:row>22</xdr:row>
      <xdr:rowOff>0</xdr:rowOff>
    </xdr:to>
    <xdr:pic>
      <xdr:nvPicPr>
        <xdr:cNvPr id="60" name="Picture 59" descr="Club Crest">
          <a:extLst>
            <a:ext uri="{FF2B5EF4-FFF2-40B4-BE49-F238E27FC236}">
              <a16:creationId xmlns:a16="http://schemas.microsoft.com/office/drawing/2014/main" id="{AE7C3015-B3EF-303F-BAC1-AA48AC25E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6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165100</xdr:colOff>
      <xdr:row>23</xdr:row>
      <xdr:rowOff>0</xdr:rowOff>
    </xdr:to>
    <xdr:pic>
      <xdr:nvPicPr>
        <xdr:cNvPr id="61" name="Picture 60" descr="Club Crest">
          <a:extLst>
            <a:ext uri="{FF2B5EF4-FFF2-40B4-BE49-F238E27FC236}">
              <a16:creationId xmlns:a16="http://schemas.microsoft.com/office/drawing/2014/main" id="{CF8F8776-8165-94C6-F1A8-C43D7F5A0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470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165100</xdr:colOff>
      <xdr:row>27</xdr:row>
      <xdr:rowOff>0</xdr:rowOff>
    </xdr:to>
    <xdr:pic>
      <xdr:nvPicPr>
        <xdr:cNvPr id="62" name="Picture 61" descr="Club Crest">
          <a:extLst>
            <a:ext uri="{FF2B5EF4-FFF2-40B4-BE49-F238E27FC236}">
              <a16:creationId xmlns:a16="http://schemas.microsoft.com/office/drawing/2014/main" id="{D95E3CFE-4154-5314-1A24-8F225A2BB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95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165100</xdr:colOff>
      <xdr:row>28</xdr:row>
      <xdr:rowOff>0</xdr:rowOff>
    </xdr:to>
    <xdr:pic>
      <xdr:nvPicPr>
        <xdr:cNvPr id="63" name="Picture 62" descr="Club Crest">
          <a:extLst>
            <a:ext uri="{FF2B5EF4-FFF2-40B4-BE49-F238E27FC236}">
              <a16:creationId xmlns:a16="http://schemas.microsoft.com/office/drawing/2014/main" id="{805723F2-45A1-A592-E6EC-59AF41922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165100</xdr:colOff>
      <xdr:row>29</xdr:row>
      <xdr:rowOff>0</xdr:rowOff>
    </xdr:to>
    <xdr:pic>
      <xdr:nvPicPr>
        <xdr:cNvPr id="64" name="Picture 63" descr="Club Crest">
          <a:extLst>
            <a:ext uri="{FF2B5EF4-FFF2-40B4-BE49-F238E27FC236}">
              <a16:creationId xmlns:a16="http://schemas.microsoft.com/office/drawing/2014/main" id="{7070F369-9403-AC67-DF53-E9873954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36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165100</xdr:colOff>
      <xdr:row>30</xdr:row>
      <xdr:rowOff>0</xdr:rowOff>
    </xdr:to>
    <xdr:pic>
      <xdr:nvPicPr>
        <xdr:cNvPr id="65" name="Picture 64" descr="Club Crest">
          <a:extLst>
            <a:ext uri="{FF2B5EF4-FFF2-40B4-BE49-F238E27FC236}">
              <a16:creationId xmlns:a16="http://schemas.microsoft.com/office/drawing/2014/main" id="{1E391EEC-5044-A2D3-F222-DB998D3A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56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165100</xdr:colOff>
      <xdr:row>31</xdr:row>
      <xdr:rowOff>0</xdr:rowOff>
    </xdr:to>
    <xdr:pic>
      <xdr:nvPicPr>
        <xdr:cNvPr id="66" name="Picture 65" descr="Club Crest">
          <a:extLst>
            <a:ext uri="{FF2B5EF4-FFF2-40B4-BE49-F238E27FC236}">
              <a16:creationId xmlns:a16="http://schemas.microsoft.com/office/drawing/2014/main" id="{3C1AD0CE-9B8D-92E5-542C-C2747CB9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76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165100</xdr:colOff>
      <xdr:row>32</xdr:row>
      <xdr:rowOff>0</xdr:rowOff>
    </xdr:to>
    <xdr:pic>
      <xdr:nvPicPr>
        <xdr:cNvPr id="67" name="Picture 66" descr="Club Crest">
          <a:extLst>
            <a:ext uri="{FF2B5EF4-FFF2-40B4-BE49-F238E27FC236}">
              <a16:creationId xmlns:a16="http://schemas.microsoft.com/office/drawing/2014/main" id="{20BA202A-B347-B246-A15E-C00009A37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97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165100</xdr:colOff>
      <xdr:row>33</xdr:row>
      <xdr:rowOff>0</xdr:rowOff>
    </xdr:to>
    <xdr:pic>
      <xdr:nvPicPr>
        <xdr:cNvPr id="68" name="Picture 67" descr="Club Crest">
          <a:extLst>
            <a:ext uri="{FF2B5EF4-FFF2-40B4-BE49-F238E27FC236}">
              <a16:creationId xmlns:a16="http://schemas.microsoft.com/office/drawing/2014/main" id="{E6548EFC-7E67-BCA7-C003-CDFEA6921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17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165100</xdr:colOff>
      <xdr:row>34</xdr:row>
      <xdr:rowOff>0</xdr:rowOff>
    </xdr:to>
    <xdr:pic>
      <xdr:nvPicPr>
        <xdr:cNvPr id="69" name="Picture 68" descr="Club Crest">
          <a:extLst>
            <a:ext uri="{FF2B5EF4-FFF2-40B4-BE49-F238E27FC236}">
              <a16:creationId xmlns:a16="http://schemas.microsoft.com/office/drawing/2014/main" id="{9D9B0E44-C663-AEAB-CC7D-6E32C69E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37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165100</xdr:colOff>
      <xdr:row>35</xdr:row>
      <xdr:rowOff>0</xdr:rowOff>
    </xdr:to>
    <xdr:pic>
      <xdr:nvPicPr>
        <xdr:cNvPr id="70" name="Picture 69" descr="Club Crest">
          <a:extLst>
            <a:ext uri="{FF2B5EF4-FFF2-40B4-BE49-F238E27FC236}">
              <a16:creationId xmlns:a16="http://schemas.microsoft.com/office/drawing/2014/main" id="{CB9E5419-B9A0-0B15-C276-5F56B306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58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165100</xdr:colOff>
      <xdr:row>36</xdr:row>
      <xdr:rowOff>0</xdr:rowOff>
    </xdr:to>
    <xdr:pic>
      <xdr:nvPicPr>
        <xdr:cNvPr id="71" name="Picture 70" descr="Club Crest">
          <a:extLst>
            <a:ext uri="{FF2B5EF4-FFF2-40B4-BE49-F238E27FC236}">
              <a16:creationId xmlns:a16="http://schemas.microsoft.com/office/drawing/2014/main" id="{6E8EBCF2-1073-82D6-56D9-9C98E89C2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78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165100</xdr:colOff>
      <xdr:row>37</xdr:row>
      <xdr:rowOff>0</xdr:rowOff>
    </xdr:to>
    <xdr:pic>
      <xdr:nvPicPr>
        <xdr:cNvPr id="72" name="Picture 71" descr="Club Crest">
          <a:extLst>
            <a:ext uri="{FF2B5EF4-FFF2-40B4-BE49-F238E27FC236}">
              <a16:creationId xmlns:a16="http://schemas.microsoft.com/office/drawing/2014/main" id="{BC2C61F3-6EA4-7257-129C-74B626133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98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165100</xdr:colOff>
      <xdr:row>38</xdr:row>
      <xdr:rowOff>0</xdr:rowOff>
    </xdr:to>
    <xdr:pic>
      <xdr:nvPicPr>
        <xdr:cNvPr id="73" name="Picture 72" descr="Club Crest">
          <a:extLst>
            <a:ext uri="{FF2B5EF4-FFF2-40B4-BE49-F238E27FC236}">
              <a16:creationId xmlns:a16="http://schemas.microsoft.com/office/drawing/2014/main" id="{68ED072D-F05C-2E98-7974-2A2FDB19D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9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165100</xdr:colOff>
      <xdr:row>39</xdr:row>
      <xdr:rowOff>0</xdr:rowOff>
    </xdr:to>
    <xdr:pic>
      <xdr:nvPicPr>
        <xdr:cNvPr id="74" name="Picture 73" descr="Club Crest">
          <a:extLst>
            <a:ext uri="{FF2B5EF4-FFF2-40B4-BE49-F238E27FC236}">
              <a16:creationId xmlns:a16="http://schemas.microsoft.com/office/drawing/2014/main" id="{9DEA249F-E851-E755-CAE0-1041BF1DB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39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165100</xdr:colOff>
      <xdr:row>40</xdr:row>
      <xdr:rowOff>0</xdr:rowOff>
    </xdr:to>
    <xdr:pic>
      <xdr:nvPicPr>
        <xdr:cNvPr id="75" name="Picture 74" descr="Club Crest">
          <a:extLst>
            <a:ext uri="{FF2B5EF4-FFF2-40B4-BE49-F238E27FC236}">
              <a16:creationId xmlns:a16="http://schemas.microsoft.com/office/drawing/2014/main" id="{61CFE685-1E97-71FB-8C70-35805232B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59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165100</xdr:colOff>
      <xdr:row>41</xdr:row>
      <xdr:rowOff>0</xdr:rowOff>
    </xdr:to>
    <xdr:pic>
      <xdr:nvPicPr>
        <xdr:cNvPr id="76" name="Picture 75" descr="Club Crest">
          <a:extLst>
            <a:ext uri="{FF2B5EF4-FFF2-40B4-BE49-F238E27FC236}">
              <a16:creationId xmlns:a16="http://schemas.microsoft.com/office/drawing/2014/main" id="{00D8A127-5C59-3A07-EF06-196C4FD56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80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165100</xdr:colOff>
      <xdr:row>42</xdr:row>
      <xdr:rowOff>0</xdr:rowOff>
    </xdr:to>
    <xdr:pic>
      <xdr:nvPicPr>
        <xdr:cNvPr id="77" name="Picture 76" descr="Club Crest">
          <a:extLst>
            <a:ext uri="{FF2B5EF4-FFF2-40B4-BE49-F238E27FC236}">
              <a16:creationId xmlns:a16="http://schemas.microsoft.com/office/drawing/2014/main" id="{E1C66349-4CA7-A0A6-2354-84D480F6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00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165100</xdr:colOff>
      <xdr:row>43</xdr:row>
      <xdr:rowOff>0</xdr:rowOff>
    </xdr:to>
    <xdr:pic>
      <xdr:nvPicPr>
        <xdr:cNvPr id="78" name="Picture 77" descr="Club Crest">
          <a:extLst>
            <a:ext uri="{FF2B5EF4-FFF2-40B4-BE49-F238E27FC236}">
              <a16:creationId xmlns:a16="http://schemas.microsoft.com/office/drawing/2014/main" id="{9F8040A9-7716-D4D2-9793-01C408F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20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165100</xdr:colOff>
      <xdr:row>44</xdr:row>
      <xdr:rowOff>0</xdr:rowOff>
    </xdr:to>
    <xdr:pic>
      <xdr:nvPicPr>
        <xdr:cNvPr id="79" name="Picture 78" descr="Club Crest">
          <a:extLst>
            <a:ext uri="{FF2B5EF4-FFF2-40B4-BE49-F238E27FC236}">
              <a16:creationId xmlns:a16="http://schemas.microsoft.com/office/drawing/2014/main" id="{FD88618C-D631-1108-FBAA-3761E1BC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41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165100</xdr:colOff>
      <xdr:row>45</xdr:row>
      <xdr:rowOff>0</xdr:rowOff>
    </xdr:to>
    <xdr:pic>
      <xdr:nvPicPr>
        <xdr:cNvPr id="80" name="Picture 79" descr="Club Crest">
          <a:extLst>
            <a:ext uri="{FF2B5EF4-FFF2-40B4-BE49-F238E27FC236}">
              <a16:creationId xmlns:a16="http://schemas.microsoft.com/office/drawing/2014/main" id="{CC2E7E5A-9566-5BE2-A364-F8DAF130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61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165100</xdr:colOff>
      <xdr:row>46</xdr:row>
      <xdr:rowOff>0</xdr:rowOff>
    </xdr:to>
    <xdr:pic>
      <xdr:nvPicPr>
        <xdr:cNvPr id="81" name="Picture 80" descr="Club Crest">
          <a:extLst>
            <a:ext uri="{FF2B5EF4-FFF2-40B4-BE49-F238E27FC236}">
              <a16:creationId xmlns:a16="http://schemas.microsoft.com/office/drawing/2014/main" id="{A24E87E6-29C7-B7EA-D3F4-EECC9B212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817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165100</xdr:colOff>
      <xdr:row>50</xdr:row>
      <xdr:rowOff>0</xdr:rowOff>
    </xdr:to>
    <xdr:pic>
      <xdr:nvPicPr>
        <xdr:cNvPr id="102" name="Picture 101" descr="Club Crest">
          <a:extLst>
            <a:ext uri="{FF2B5EF4-FFF2-40B4-BE49-F238E27FC236}">
              <a16:creationId xmlns:a16="http://schemas.microsoft.com/office/drawing/2014/main" id="{F7C7C5D1-3767-30B5-D5C0-4D00D8B3F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95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165100</xdr:colOff>
      <xdr:row>51</xdr:row>
      <xdr:rowOff>0</xdr:rowOff>
    </xdr:to>
    <xdr:pic>
      <xdr:nvPicPr>
        <xdr:cNvPr id="103" name="Picture 102" descr="Club Crest">
          <a:extLst>
            <a:ext uri="{FF2B5EF4-FFF2-40B4-BE49-F238E27FC236}">
              <a16:creationId xmlns:a16="http://schemas.microsoft.com/office/drawing/2014/main" id="{1ADA0070-9A60-2CA4-903E-303A003D7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165100</xdr:colOff>
      <xdr:row>52</xdr:row>
      <xdr:rowOff>0</xdr:rowOff>
    </xdr:to>
    <xdr:pic>
      <xdr:nvPicPr>
        <xdr:cNvPr id="104" name="Picture 103" descr="Club Crest">
          <a:extLst>
            <a:ext uri="{FF2B5EF4-FFF2-40B4-BE49-F238E27FC236}">
              <a16:creationId xmlns:a16="http://schemas.microsoft.com/office/drawing/2014/main" id="{5323A9C0-155D-135E-F746-C72ACE95B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36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165100</xdr:colOff>
      <xdr:row>53</xdr:row>
      <xdr:rowOff>0</xdr:rowOff>
    </xdr:to>
    <xdr:pic>
      <xdr:nvPicPr>
        <xdr:cNvPr id="105" name="Picture 104" descr="Club Crest">
          <a:extLst>
            <a:ext uri="{FF2B5EF4-FFF2-40B4-BE49-F238E27FC236}">
              <a16:creationId xmlns:a16="http://schemas.microsoft.com/office/drawing/2014/main" id="{AEDB9476-F052-F1EB-2BF8-154EF01C5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56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165100</xdr:colOff>
      <xdr:row>54</xdr:row>
      <xdr:rowOff>0</xdr:rowOff>
    </xdr:to>
    <xdr:pic>
      <xdr:nvPicPr>
        <xdr:cNvPr id="106" name="Picture 105" descr="Club Crest">
          <a:extLst>
            <a:ext uri="{FF2B5EF4-FFF2-40B4-BE49-F238E27FC236}">
              <a16:creationId xmlns:a16="http://schemas.microsoft.com/office/drawing/2014/main" id="{33785BC7-3885-526D-7638-6F003C5D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76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165100</xdr:colOff>
      <xdr:row>55</xdr:row>
      <xdr:rowOff>0</xdr:rowOff>
    </xdr:to>
    <xdr:pic>
      <xdr:nvPicPr>
        <xdr:cNvPr id="107" name="Picture 106" descr="Club Crest">
          <a:extLst>
            <a:ext uri="{FF2B5EF4-FFF2-40B4-BE49-F238E27FC236}">
              <a16:creationId xmlns:a16="http://schemas.microsoft.com/office/drawing/2014/main" id="{FB2978B7-CF2A-823E-50B2-F646E94CA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97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165100</xdr:colOff>
      <xdr:row>56</xdr:row>
      <xdr:rowOff>0</xdr:rowOff>
    </xdr:to>
    <xdr:pic>
      <xdr:nvPicPr>
        <xdr:cNvPr id="108" name="Picture 107" descr="Club Crest">
          <a:extLst>
            <a:ext uri="{FF2B5EF4-FFF2-40B4-BE49-F238E27FC236}">
              <a16:creationId xmlns:a16="http://schemas.microsoft.com/office/drawing/2014/main" id="{1B1FE5F7-D0DB-5FB6-F887-271536F8B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17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165100</xdr:colOff>
      <xdr:row>57</xdr:row>
      <xdr:rowOff>0</xdr:rowOff>
    </xdr:to>
    <xdr:pic>
      <xdr:nvPicPr>
        <xdr:cNvPr id="109" name="Picture 108" descr="Club Crest">
          <a:extLst>
            <a:ext uri="{FF2B5EF4-FFF2-40B4-BE49-F238E27FC236}">
              <a16:creationId xmlns:a16="http://schemas.microsoft.com/office/drawing/2014/main" id="{60C9D2E9-65AF-678A-D984-8B326930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37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165100</xdr:colOff>
      <xdr:row>58</xdr:row>
      <xdr:rowOff>0</xdr:rowOff>
    </xdr:to>
    <xdr:pic>
      <xdr:nvPicPr>
        <xdr:cNvPr id="110" name="Picture 109" descr="Club Crest">
          <a:extLst>
            <a:ext uri="{FF2B5EF4-FFF2-40B4-BE49-F238E27FC236}">
              <a16:creationId xmlns:a16="http://schemas.microsoft.com/office/drawing/2014/main" id="{2F3DC0CE-43D8-9A80-E7DC-1966F915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58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165100</xdr:colOff>
      <xdr:row>59</xdr:row>
      <xdr:rowOff>0</xdr:rowOff>
    </xdr:to>
    <xdr:pic>
      <xdr:nvPicPr>
        <xdr:cNvPr id="111" name="Picture 110" descr="Club Crest">
          <a:extLst>
            <a:ext uri="{FF2B5EF4-FFF2-40B4-BE49-F238E27FC236}">
              <a16:creationId xmlns:a16="http://schemas.microsoft.com/office/drawing/2014/main" id="{5C4F0CED-AA2D-33DA-1C0F-275B0E80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78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165100</xdr:colOff>
      <xdr:row>60</xdr:row>
      <xdr:rowOff>0</xdr:rowOff>
    </xdr:to>
    <xdr:pic>
      <xdr:nvPicPr>
        <xdr:cNvPr id="112" name="Picture 111" descr="Club Crest">
          <a:extLst>
            <a:ext uri="{FF2B5EF4-FFF2-40B4-BE49-F238E27FC236}">
              <a16:creationId xmlns:a16="http://schemas.microsoft.com/office/drawing/2014/main" id="{3C4B9511-3600-1267-FA73-A00AC1CDF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98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165100</xdr:colOff>
      <xdr:row>61</xdr:row>
      <xdr:rowOff>0</xdr:rowOff>
    </xdr:to>
    <xdr:pic>
      <xdr:nvPicPr>
        <xdr:cNvPr id="113" name="Picture 112" descr="Club Crest">
          <a:extLst>
            <a:ext uri="{FF2B5EF4-FFF2-40B4-BE49-F238E27FC236}">
              <a16:creationId xmlns:a16="http://schemas.microsoft.com/office/drawing/2014/main" id="{D1292A5B-1FF4-CAD7-6935-E0E7ADAF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9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165100</xdr:colOff>
      <xdr:row>62</xdr:row>
      <xdr:rowOff>0</xdr:rowOff>
    </xdr:to>
    <xdr:pic>
      <xdr:nvPicPr>
        <xdr:cNvPr id="114" name="Picture 113" descr="Club Crest">
          <a:extLst>
            <a:ext uri="{FF2B5EF4-FFF2-40B4-BE49-F238E27FC236}">
              <a16:creationId xmlns:a16="http://schemas.microsoft.com/office/drawing/2014/main" id="{C5C33A3E-D7D4-F2D9-04CC-DA0175CE5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39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165100</xdr:colOff>
      <xdr:row>63</xdr:row>
      <xdr:rowOff>0</xdr:rowOff>
    </xdr:to>
    <xdr:pic>
      <xdr:nvPicPr>
        <xdr:cNvPr id="115" name="Picture 114" descr="Club Crest">
          <a:extLst>
            <a:ext uri="{FF2B5EF4-FFF2-40B4-BE49-F238E27FC236}">
              <a16:creationId xmlns:a16="http://schemas.microsoft.com/office/drawing/2014/main" id="{C12ADB92-1656-BD62-F4F4-210184EC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59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165100</xdr:colOff>
      <xdr:row>64</xdr:row>
      <xdr:rowOff>0</xdr:rowOff>
    </xdr:to>
    <xdr:pic>
      <xdr:nvPicPr>
        <xdr:cNvPr id="116" name="Picture 115" descr="Club Crest">
          <a:extLst>
            <a:ext uri="{FF2B5EF4-FFF2-40B4-BE49-F238E27FC236}">
              <a16:creationId xmlns:a16="http://schemas.microsoft.com/office/drawing/2014/main" id="{1EE4B5C0-6590-5437-6C80-FA142CD8A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80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165100</xdr:colOff>
      <xdr:row>65</xdr:row>
      <xdr:rowOff>0</xdr:rowOff>
    </xdr:to>
    <xdr:pic>
      <xdr:nvPicPr>
        <xdr:cNvPr id="117" name="Picture 116" descr="Club Crest">
          <a:extLst>
            <a:ext uri="{FF2B5EF4-FFF2-40B4-BE49-F238E27FC236}">
              <a16:creationId xmlns:a16="http://schemas.microsoft.com/office/drawing/2014/main" id="{741816EB-500A-D673-618C-1BE7A64A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00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165100</xdr:colOff>
      <xdr:row>66</xdr:row>
      <xdr:rowOff>0</xdr:rowOff>
    </xdr:to>
    <xdr:pic>
      <xdr:nvPicPr>
        <xdr:cNvPr id="118" name="Picture 117" descr="Club Crest">
          <a:extLst>
            <a:ext uri="{FF2B5EF4-FFF2-40B4-BE49-F238E27FC236}">
              <a16:creationId xmlns:a16="http://schemas.microsoft.com/office/drawing/2014/main" id="{D007F859-921A-3E6C-CDDD-B9836BC6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20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165100</xdr:colOff>
      <xdr:row>67</xdr:row>
      <xdr:rowOff>0</xdr:rowOff>
    </xdr:to>
    <xdr:pic>
      <xdr:nvPicPr>
        <xdr:cNvPr id="119" name="Picture 118" descr="Club Crest">
          <a:extLst>
            <a:ext uri="{FF2B5EF4-FFF2-40B4-BE49-F238E27FC236}">
              <a16:creationId xmlns:a16="http://schemas.microsoft.com/office/drawing/2014/main" id="{11C83A8F-E65F-4CCE-0291-CE9C6130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41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165100</xdr:colOff>
      <xdr:row>68</xdr:row>
      <xdr:rowOff>0</xdr:rowOff>
    </xdr:to>
    <xdr:pic>
      <xdr:nvPicPr>
        <xdr:cNvPr id="120" name="Picture 119" descr="Club Crest">
          <a:extLst>
            <a:ext uri="{FF2B5EF4-FFF2-40B4-BE49-F238E27FC236}">
              <a16:creationId xmlns:a16="http://schemas.microsoft.com/office/drawing/2014/main" id="{3460EB8A-AF1E-0AA7-8919-3F3514510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61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165100</xdr:colOff>
      <xdr:row>69</xdr:row>
      <xdr:rowOff>0</xdr:rowOff>
    </xdr:to>
    <xdr:pic>
      <xdr:nvPicPr>
        <xdr:cNvPr id="121" name="Picture 120" descr="Club Crest">
          <a:extLst>
            <a:ext uri="{FF2B5EF4-FFF2-40B4-BE49-F238E27FC236}">
              <a16:creationId xmlns:a16="http://schemas.microsoft.com/office/drawing/2014/main" id="{44F85459-1A20-F37D-0BAB-5F99728D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817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165100</xdr:colOff>
      <xdr:row>120</xdr:row>
      <xdr:rowOff>0</xdr:rowOff>
    </xdr:to>
    <xdr:pic>
      <xdr:nvPicPr>
        <xdr:cNvPr id="122" name="Picture 121" descr="Club Crest">
          <a:extLst>
            <a:ext uri="{FF2B5EF4-FFF2-40B4-BE49-F238E27FC236}">
              <a16:creationId xmlns:a16="http://schemas.microsoft.com/office/drawing/2014/main" id="{4CA5332F-97D1-D299-4ECE-C42638AB0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180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165100</xdr:colOff>
      <xdr:row>121</xdr:row>
      <xdr:rowOff>0</xdr:rowOff>
    </xdr:to>
    <xdr:pic>
      <xdr:nvPicPr>
        <xdr:cNvPr id="123" name="Picture 122" descr="Club Crest">
          <a:extLst>
            <a:ext uri="{FF2B5EF4-FFF2-40B4-BE49-F238E27FC236}">
              <a16:creationId xmlns:a16="http://schemas.microsoft.com/office/drawing/2014/main" id="{465DF67E-D43F-55F8-67F3-1EC9B9794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384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165100</xdr:colOff>
      <xdr:row>122</xdr:row>
      <xdr:rowOff>0</xdr:rowOff>
    </xdr:to>
    <xdr:pic>
      <xdr:nvPicPr>
        <xdr:cNvPr id="124" name="Picture 123" descr="Club Crest">
          <a:extLst>
            <a:ext uri="{FF2B5EF4-FFF2-40B4-BE49-F238E27FC236}">
              <a16:creationId xmlns:a16="http://schemas.microsoft.com/office/drawing/2014/main" id="{60B6A150-B65E-5F55-3B8C-956FA7760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58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165100</xdr:colOff>
      <xdr:row>123</xdr:row>
      <xdr:rowOff>0</xdr:rowOff>
    </xdr:to>
    <xdr:pic>
      <xdr:nvPicPr>
        <xdr:cNvPr id="125" name="Picture 124" descr="Club Crest">
          <a:extLst>
            <a:ext uri="{FF2B5EF4-FFF2-40B4-BE49-F238E27FC236}">
              <a16:creationId xmlns:a16="http://schemas.microsoft.com/office/drawing/2014/main" id="{4317C68F-A724-639E-F42F-75E788BE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790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165100</xdr:colOff>
      <xdr:row>124</xdr:row>
      <xdr:rowOff>0</xdr:rowOff>
    </xdr:to>
    <xdr:pic>
      <xdr:nvPicPr>
        <xdr:cNvPr id="126" name="Picture 125" descr="Club Crest">
          <a:extLst>
            <a:ext uri="{FF2B5EF4-FFF2-40B4-BE49-F238E27FC236}">
              <a16:creationId xmlns:a16="http://schemas.microsoft.com/office/drawing/2014/main" id="{F24DF037-340A-E87B-A46B-43CC2210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499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165100</xdr:colOff>
      <xdr:row>125</xdr:row>
      <xdr:rowOff>0</xdr:rowOff>
    </xdr:to>
    <xdr:pic>
      <xdr:nvPicPr>
        <xdr:cNvPr id="127" name="Picture 126" descr="Club Crest">
          <a:extLst>
            <a:ext uri="{FF2B5EF4-FFF2-40B4-BE49-F238E27FC236}">
              <a16:creationId xmlns:a16="http://schemas.microsoft.com/office/drawing/2014/main" id="{BACDAD6E-2CB6-8372-D593-181DA219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19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165100</xdr:colOff>
      <xdr:row>126</xdr:row>
      <xdr:rowOff>0</xdr:rowOff>
    </xdr:to>
    <xdr:pic>
      <xdr:nvPicPr>
        <xdr:cNvPr id="128" name="Picture 127" descr="Club Crest">
          <a:extLst>
            <a:ext uri="{FF2B5EF4-FFF2-40B4-BE49-F238E27FC236}">
              <a16:creationId xmlns:a16="http://schemas.microsoft.com/office/drawing/2014/main" id="{7241239E-36A3-D56B-DA4A-0644E79F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40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165100</xdr:colOff>
      <xdr:row>127</xdr:row>
      <xdr:rowOff>0</xdr:rowOff>
    </xdr:to>
    <xdr:pic>
      <xdr:nvPicPr>
        <xdr:cNvPr id="129" name="Picture 128" descr="Club Crest">
          <a:extLst>
            <a:ext uri="{FF2B5EF4-FFF2-40B4-BE49-F238E27FC236}">
              <a16:creationId xmlns:a16="http://schemas.microsoft.com/office/drawing/2014/main" id="{6A27A287-4BD0-05A3-2060-26E705DE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60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165100</xdr:colOff>
      <xdr:row>128</xdr:row>
      <xdr:rowOff>0</xdr:rowOff>
    </xdr:to>
    <xdr:pic>
      <xdr:nvPicPr>
        <xdr:cNvPr id="130" name="Picture 129" descr="Club Crest">
          <a:extLst>
            <a:ext uri="{FF2B5EF4-FFF2-40B4-BE49-F238E27FC236}">
              <a16:creationId xmlns:a16="http://schemas.microsoft.com/office/drawing/2014/main" id="{B6514ADB-F76E-E3A5-D61E-2C8983510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580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165100</xdr:colOff>
      <xdr:row>129</xdr:row>
      <xdr:rowOff>0</xdr:rowOff>
    </xdr:to>
    <xdr:pic>
      <xdr:nvPicPr>
        <xdr:cNvPr id="131" name="Picture 130" descr="Club Crest">
          <a:extLst>
            <a:ext uri="{FF2B5EF4-FFF2-40B4-BE49-F238E27FC236}">
              <a16:creationId xmlns:a16="http://schemas.microsoft.com/office/drawing/2014/main" id="{EAC32684-59FB-9A2A-B203-52866EE8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00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165100</xdr:colOff>
      <xdr:row>130</xdr:row>
      <xdr:rowOff>0</xdr:rowOff>
    </xdr:to>
    <xdr:pic>
      <xdr:nvPicPr>
        <xdr:cNvPr id="132" name="Picture 131" descr="Club Crest">
          <a:extLst>
            <a:ext uri="{FF2B5EF4-FFF2-40B4-BE49-F238E27FC236}">
              <a16:creationId xmlns:a16="http://schemas.microsoft.com/office/drawing/2014/main" id="{4E01CE63-4060-4571-8EDB-409FA5B8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21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165100</xdr:colOff>
      <xdr:row>131</xdr:row>
      <xdr:rowOff>0</xdr:rowOff>
    </xdr:to>
    <xdr:pic>
      <xdr:nvPicPr>
        <xdr:cNvPr id="133" name="Picture 132" descr="Club Crest">
          <a:extLst>
            <a:ext uri="{FF2B5EF4-FFF2-40B4-BE49-F238E27FC236}">
              <a16:creationId xmlns:a16="http://schemas.microsoft.com/office/drawing/2014/main" id="{CE7825BE-C866-C65D-E578-ACD72E12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41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165100</xdr:colOff>
      <xdr:row>132</xdr:row>
      <xdr:rowOff>0</xdr:rowOff>
    </xdr:to>
    <xdr:pic>
      <xdr:nvPicPr>
        <xdr:cNvPr id="134" name="Picture 133" descr="Club Crest">
          <a:extLst>
            <a:ext uri="{FF2B5EF4-FFF2-40B4-BE49-F238E27FC236}">
              <a16:creationId xmlns:a16="http://schemas.microsoft.com/office/drawing/2014/main" id="{6B446701-F491-B699-FA2F-4AA6C716F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61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165100</xdr:colOff>
      <xdr:row>133</xdr:row>
      <xdr:rowOff>0</xdr:rowOff>
    </xdr:to>
    <xdr:pic>
      <xdr:nvPicPr>
        <xdr:cNvPr id="135" name="Picture 134" descr="Club Crest">
          <a:extLst>
            <a:ext uri="{FF2B5EF4-FFF2-40B4-BE49-F238E27FC236}">
              <a16:creationId xmlns:a16="http://schemas.microsoft.com/office/drawing/2014/main" id="{8D85337C-707C-8370-5EED-0B18587C9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682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165100</xdr:colOff>
      <xdr:row>134</xdr:row>
      <xdr:rowOff>0</xdr:rowOff>
    </xdr:to>
    <xdr:pic>
      <xdr:nvPicPr>
        <xdr:cNvPr id="136" name="Picture 135" descr="Club Crest">
          <a:extLst>
            <a:ext uri="{FF2B5EF4-FFF2-40B4-BE49-F238E27FC236}">
              <a16:creationId xmlns:a16="http://schemas.microsoft.com/office/drawing/2014/main" id="{CC365388-58DF-B6A0-45E1-E22CF3267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02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165100</xdr:colOff>
      <xdr:row>135</xdr:row>
      <xdr:rowOff>0</xdr:rowOff>
    </xdr:to>
    <xdr:pic>
      <xdr:nvPicPr>
        <xdr:cNvPr id="137" name="Picture 136" descr="Club Crest">
          <a:extLst>
            <a:ext uri="{FF2B5EF4-FFF2-40B4-BE49-F238E27FC236}">
              <a16:creationId xmlns:a16="http://schemas.microsoft.com/office/drawing/2014/main" id="{4AF90C07-C927-51B3-85A6-BF71E0C01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22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165100</xdr:colOff>
      <xdr:row>136</xdr:row>
      <xdr:rowOff>0</xdr:rowOff>
    </xdr:to>
    <xdr:pic>
      <xdr:nvPicPr>
        <xdr:cNvPr id="138" name="Picture 137" descr="Club Crest">
          <a:extLst>
            <a:ext uri="{FF2B5EF4-FFF2-40B4-BE49-F238E27FC236}">
              <a16:creationId xmlns:a16="http://schemas.microsoft.com/office/drawing/2014/main" id="{E2F431F4-6DA0-8850-D5B8-40C050CB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43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165100</xdr:colOff>
      <xdr:row>137</xdr:row>
      <xdr:rowOff>0</xdr:rowOff>
    </xdr:to>
    <xdr:pic>
      <xdr:nvPicPr>
        <xdr:cNvPr id="139" name="Picture 138" descr="Club Crest">
          <a:extLst>
            <a:ext uri="{FF2B5EF4-FFF2-40B4-BE49-F238E27FC236}">
              <a16:creationId xmlns:a16="http://schemas.microsoft.com/office/drawing/2014/main" id="{8DB0CEDD-178C-BF6C-29A6-FCE8153B7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63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165100</xdr:colOff>
      <xdr:row>138</xdr:row>
      <xdr:rowOff>0</xdr:rowOff>
    </xdr:to>
    <xdr:pic>
      <xdr:nvPicPr>
        <xdr:cNvPr id="140" name="Picture 139" descr="Club Crest">
          <a:extLst>
            <a:ext uri="{FF2B5EF4-FFF2-40B4-BE49-F238E27FC236}">
              <a16:creationId xmlns:a16="http://schemas.microsoft.com/office/drawing/2014/main" id="{9BECE3EC-8420-CFBF-1675-A82B36466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783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165100</xdr:colOff>
      <xdr:row>139</xdr:row>
      <xdr:rowOff>0</xdr:rowOff>
    </xdr:to>
    <xdr:pic>
      <xdr:nvPicPr>
        <xdr:cNvPr id="141" name="Picture 140" descr="Club Crest">
          <a:extLst>
            <a:ext uri="{FF2B5EF4-FFF2-40B4-BE49-F238E27FC236}">
              <a16:creationId xmlns:a16="http://schemas.microsoft.com/office/drawing/2014/main" id="{9990011F-6B3F-11D2-6D03-3BBD366E4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804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165100</xdr:colOff>
      <xdr:row>97</xdr:row>
      <xdr:rowOff>0</xdr:rowOff>
    </xdr:to>
    <xdr:pic>
      <xdr:nvPicPr>
        <xdr:cNvPr id="142" name="Picture 141" descr="Club Crest">
          <a:extLst>
            <a:ext uri="{FF2B5EF4-FFF2-40B4-BE49-F238E27FC236}">
              <a16:creationId xmlns:a16="http://schemas.microsoft.com/office/drawing/2014/main" id="{6A4B8D43-AE5B-EFD9-F3FE-DD108F4E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9507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165100</xdr:colOff>
      <xdr:row>98</xdr:row>
      <xdr:rowOff>0</xdr:rowOff>
    </xdr:to>
    <xdr:pic>
      <xdr:nvPicPr>
        <xdr:cNvPr id="143" name="Picture 142" descr="Club Crest">
          <a:extLst>
            <a:ext uri="{FF2B5EF4-FFF2-40B4-BE49-F238E27FC236}">
              <a16:creationId xmlns:a16="http://schemas.microsoft.com/office/drawing/2014/main" id="{66F8C255-1600-6A53-375F-6CD7F4740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9710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165100</xdr:colOff>
      <xdr:row>99</xdr:row>
      <xdr:rowOff>0</xdr:rowOff>
    </xdr:to>
    <xdr:pic>
      <xdr:nvPicPr>
        <xdr:cNvPr id="144" name="Picture 143" descr="Club Crest">
          <a:extLst>
            <a:ext uri="{FF2B5EF4-FFF2-40B4-BE49-F238E27FC236}">
              <a16:creationId xmlns:a16="http://schemas.microsoft.com/office/drawing/2014/main" id="{DFC2B422-5BBB-8966-E081-F1B62937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991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165100</xdr:colOff>
      <xdr:row>100</xdr:row>
      <xdr:rowOff>0</xdr:rowOff>
    </xdr:to>
    <xdr:pic>
      <xdr:nvPicPr>
        <xdr:cNvPr id="145" name="Picture 144" descr="Club Crest">
          <a:extLst>
            <a:ext uri="{FF2B5EF4-FFF2-40B4-BE49-F238E27FC236}">
              <a16:creationId xmlns:a16="http://schemas.microsoft.com/office/drawing/2014/main" id="{BFB6D548-6510-A9C1-7235-559E74D7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11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165100</xdr:colOff>
      <xdr:row>101</xdr:row>
      <xdr:rowOff>0</xdr:rowOff>
    </xdr:to>
    <xdr:pic>
      <xdr:nvPicPr>
        <xdr:cNvPr id="146" name="Picture 145" descr="Club Crest">
          <a:extLst>
            <a:ext uri="{FF2B5EF4-FFF2-40B4-BE49-F238E27FC236}">
              <a16:creationId xmlns:a16="http://schemas.microsoft.com/office/drawing/2014/main" id="{D9A795F1-B308-F35C-5B20-A6FA7C8A7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32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165100</xdr:colOff>
      <xdr:row>102</xdr:row>
      <xdr:rowOff>0</xdr:rowOff>
    </xdr:to>
    <xdr:pic>
      <xdr:nvPicPr>
        <xdr:cNvPr id="147" name="Picture 146" descr="Club Crest">
          <a:extLst>
            <a:ext uri="{FF2B5EF4-FFF2-40B4-BE49-F238E27FC236}">
              <a16:creationId xmlns:a16="http://schemas.microsoft.com/office/drawing/2014/main" id="{540D7003-708C-CE71-3198-9C1EEF2F3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52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165100</xdr:colOff>
      <xdr:row>103</xdr:row>
      <xdr:rowOff>0</xdr:rowOff>
    </xdr:to>
    <xdr:pic>
      <xdr:nvPicPr>
        <xdr:cNvPr id="148" name="Picture 147" descr="Club Crest">
          <a:extLst>
            <a:ext uri="{FF2B5EF4-FFF2-40B4-BE49-F238E27FC236}">
              <a16:creationId xmlns:a16="http://schemas.microsoft.com/office/drawing/2014/main" id="{24065A98-7A9D-C322-4B92-BC8EEFC80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72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165100</xdr:colOff>
      <xdr:row>104</xdr:row>
      <xdr:rowOff>0</xdr:rowOff>
    </xdr:to>
    <xdr:pic>
      <xdr:nvPicPr>
        <xdr:cNvPr id="149" name="Picture 148" descr="Club Crest">
          <a:extLst>
            <a:ext uri="{FF2B5EF4-FFF2-40B4-BE49-F238E27FC236}">
              <a16:creationId xmlns:a16="http://schemas.microsoft.com/office/drawing/2014/main" id="{65ABBD94-2D10-E6DC-5C1F-202E4154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092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165100</xdr:colOff>
      <xdr:row>105</xdr:row>
      <xdr:rowOff>0</xdr:rowOff>
    </xdr:to>
    <xdr:pic>
      <xdr:nvPicPr>
        <xdr:cNvPr id="150" name="Picture 149" descr="Club Crest">
          <a:extLst>
            <a:ext uri="{FF2B5EF4-FFF2-40B4-BE49-F238E27FC236}">
              <a16:creationId xmlns:a16="http://schemas.microsoft.com/office/drawing/2014/main" id="{A52F976A-6A06-81D8-AAB4-338F1C63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13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165100</xdr:colOff>
      <xdr:row>106</xdr:row>
      <xdr:rowOff>0</xdr:rowOff>
    </xdr:to>
    <xdr:pic>
      <xdr:nvPicPr>
        <xdr:cNvPr id="151" name="Picture 150" descr="Club Crest">
          <a:extLst>
            <a:ext uri="{FF2B5EF4-FFF2-40B4-BE49-F238E27FC236}">
              <a16:creationId xmlns:a16="http://schemas.microsoft.com/office/drawing/2014/main" id="{CBD9F162-1D8A-D686-D729-86C434D6B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33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165100</xdr:colOff>
      <xdr:row>107</xdr:row>
      <xdr:rowOff>0</xdr:rowOff>
    </xdr:to>
    <xdr:pic>
      <xdr:nvPicPr>
        <xdr:cNvPr id="152" name="Picture 151" descr="Club Crest">
          <a:extLst>
            <a:ext uri="{FF2B5EF4-FFF2-40B4-BE49-F238E27FC236}">
              <a16:creationId xmlns:a16="http://schemas.microsoft.com/office/drawing/2014/main" id="{5FB40D39-E933-2265-C351-5B418AED8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53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165100</xdr:colOff>
      <xdr:row>108</xdr:row>
      <xdr:rowOff>0</xdr:rowOff>
    </xdr:to>
    <xdr:pic>
      <xdr:nvPicPr>
        <xdr:cNvPr id="153" name="Picture 152" descr="Club Crest">
          <a:extLst>
            <a:ext uri="{FF2B5EF4-FFF2-40B4-BE49-F238E27FC236}">
              <a16:creationId xmlns:a16="http://schemas.microsoft.com/office/drawing/2014/main" id="{E40DC5DD-85AE-FCCA-B931-1130F4940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74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165100</xdr:colOff>
      <xdr:row>109</xdr:row>
      <xdr:rowOff>0</xdr:rowOff>
    </xdr:to>
    <xdr:pic>
      <xdr:nvPicPr>
        <xdr:cNvPr id="154" name="Picture 153" descr="Club Crest">
          <a:extLst>
            <a:ext uri="{FF2B5EF4-FFF2-40B4-BE49-F238E27FC236}">
              <a16:creationId xmlns:a16="http://schemas.microsoft.com/office/drawing/2014/main" id="{8C5A5C53-1AB5-9DE9-371A-7F67A66A8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194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165100</xdr:colOff>
      <xdr:row>110</xdr:row>
      <xdr:rowOff>0</xdr:rowOff>
    </xdr:to>
    <xdr:pic>
      <xdr:nvPicPr>
        <xdr:cNvPr id="155" name="Picture 154" descr="Club Crest">
          <a:extLst>
            <a:ext uri="{FF2B5EF4-FFF2-40B4-BE49-F238E27FC236}">
              <a16:creationId xmlns:a16="http://schemas.microsoft.com/office/drawing/2014/main" id="{4D0E2A46-5D3E-8A2C-A80A-51205E43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14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165100</xdr:colOff>
      <xdr:row>111</xdr:row>
      <xdr:rowOff>0</xdr:rowOff>
    </xdr:to>
    <xdr:pic>
      <xdr:nvPicPr>
        <xdr:cNvPr id="156" name="Picture 155" descr="Club Crest">
          <a:extLst>
            <a:ext uri="{FF2B5EF4-FFF2-40B4-BE49-F238E27FC236}">
              <a16:creationId xmlns:a16="http://schemas.microsoft.com/office/drawing/2014/main" id="{11241ED0-317F-B249-F97D-F0B1DA97D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35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165100</xdr:colOff>
      <xdr:row>112</xdr:row>
      <xdr:rowOff>0</xdr:rowOff>
    </xdr:to>
    <xdr:pic>
      <xdr:nvPicPr>
        <xdr:cNvPr id="157" name="Picture 156" descr="Club Crest">
          <a:extLst>
            <a:ext uri="{FF2B5EF4-FFF2-40B4-BE49-F238E27FC236}">
              <a16:creationId xmlns:a16="http://schemas.microsoft.com/office/drawing/2014/main" id="{5E353E69-339B-E44E-3E17-AF43B522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55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165100</xdr:colOff>
      <xdr:row>113</xdr:row>
      <xdr:rowOff>0</xdr:rowOff>
    </xdr:to>
    <xdr:pic>
      <xdr:nvPicPr>
        <xdr:cNvPr id="158" name="Picture 157" descr="Club Crest">
          <a:extLst>
            <a:ext uri="{FF2B5EF4-FFF2-40B4-BE49-F238E27FC236}">
              <a16:creationId xmlns:a16="http://schemas.microsoft.com/office/drawing/2014/main" id="{4B405652-CECD-8F60-E978-DBB74D2F1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75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165100</xdr:colOff>
      <xdr:row>114</xdr:row>
      <xdr:rowOff>0</xdr:rowOff>
    </xdr:to>
    <xdr:pic>
      <xdr:nvPicPr>
        <xdr:cNvPr id="159" name="Picture 158" descr="Club Crest">
          <a:extLst>
            <a:ext uri="{FF2B5EF4-FFF2-40B4-BE49-F238E27FC236}">
              <a16:creationId xmlns:a16="http://schemas.microsoft.com/office/drawing/2014/main" id="{BA9C334D-52A7-D55E-03F0-85EA2A0A5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296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165100</xdr:colOff>
      <xdr:row>115</xdr:row>
      <xdr:rowOff>0</xdr:rowOff>
    </xdr:to>
    <xdr:pic>
      <xdr:nvPicPr>
        <xdr:cNvPr id="160" name="Picture 159" descr="Club Crest">
          <a:extLst>
            <a:ext uri="{FF2B5EF4-FFF2-40B4-BE49-F238E27FC236}">
              <a16:creationId xmlns:a16="http://schemas.microsoft.com/office/drawing/2014/main" id="{AD6903AD-6023-21CA-CCA5-07151F64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316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165100</xdr:colOff>
      <xdr:row>116</xdr:row>
      <xdr:rowOff>0</xdr:rowOff>
    </xdr:to>
    <xdr:pic>
      <xdr:nvPicPr>
        <xdr:cNvPr id="161" name="Picture 160" descr="Club Crest">
          <a:extLst>
            <a:ext uri="{FF2B5EF4-FFF2-40B4-BE49-F238E27FC236}">
              <a16:creationId xmlns:a16="http://schemas.microsoft.com/office/drawing/2014/main" id="{9744002E-D323-EE56-6371-8DF339A8D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2336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165100</xdr:colOff>
      <xdr:row>74</xdr:row>
      <xdr:rowOff>0</xdr:rowOff>
    </xdr:to>
    <xdr:pic>
      <xdr:nvPicPr>
        <xdr:cNvPr id="162" name="Picture 161" descr="Club Crest">
          <a:extLst>
            <a:ext uri="{FF2B5EF4-FFF2-40B4-BE49-F238E27FC236}">
              <a16:creationId xmlns:a16="http://schemas.microsoft.com/office/drawing/2014/main" id="{4AB205E0-7B83-CAD6-AE05-6FA27F6D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4833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165100</xdr:colOff>
      <xdr:row>75</xdr:row>
      <xdr:rowOff>0</xdr:rowOff>
    </xdr:to>
    <xdr:pic>
      <xdr:nvPicPr>
        <xdr:cNvPr id="163" name="Picture 162" descr="Club Crest">
          <a:extLst>
            <a:ext uri="{FF2B5EF4-FFF2-40B4-BE49-F238E27FC236}">
              <a16:creationId xmlns:a16="http://schemas.microsoft.com/office/drawing/2014/main" id="{3EC587A5-8F99-2605-396A-DE37BC4D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036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165100</xdr:colOff>
      <xdr:row>76</xdr:row>
      <xdr:rowOff>0</xdr:rowOff>
    </xdr:to>
    <xdr:pic>
      <xdr:nvPicPr>
        <xdr:cNvPr id="164" name="Picture 163" descr="Club Crest">
          <a:extLst>
            <a:ext uri="{FF2B5EF4-FFF2-40B4-BE49-F238E27FC236}">
              <a16:creationId xmlns:a16="http://schemas.microsoft.com/office/drawing/2014/main" id="{299EF2A7-9A21-60A7-62CF-E120FC088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240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165100</xdr:colOff>
      <xdr:row>77</xdr:row>
      <xdr:rowOff>0</xdr:rowOff>
    </xdr:to>
    <xdr:pic>
      <xdr:nvPicPr>
        <xdr:cNvPr id="165" name="Picture 164" descr="Club Crest">
          <a:extLst>
            <a:ext uri="{FF2B5EF4-FFF2-40B4-BE49-F238E27FC236}">
              <a16:creationId xmlns:a16="http://schemas.microsoft.com/office/drawing/2014/main" id="{4D0E0288-96C8-A150-3365-EDEFA1C3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443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165100</xdr:colOff>
      <xdr:row>78</xdr:row>
      <xdr:rowOff>0</xdr:rowOff>
    </xdr:to>
    <xdr:pic>
      <xdr:nvPicPr>
        <xdr:cNvPr id="166" name="Picture 165" descr="Club Crest">
          <a:extLst>
            <a:ext uri="{FF2B5EF4-FFF2-40B4-BE49-F238E27FC236}">
              <a16:creationId xmlns:a16="http://schemas.microsoft.com/office/drawing/2014/main" id="{7C1588B8-0372-2FBA-6986-9704DEE1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646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165100</xdr:colOff>
      <xdr:row>79</xdr:row>
      <xdr:rowOff>0</xdr:rowOff>
    </xdr:to>
    <xdr:pic>
      <xdr:nvPicPr>
        <xdr:cNvPr id="167" name="Picture 166" descr="Club Crest">
          <a:extLst>
            <a:ext uri="{FF2B5EF4-FFF2-40B4-BE49-F238E27FC236}">
              <a16:creationId xmlns:a16="http://schemas.microsoft.com/office/drawing/2014/main" id="{27DDB97B-D8C1-017A-0F33-650698D68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5849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165100</xdr:colOff>
      <xdr:row>80</xdr:row>
      <xdr:rowOff>0</xdr:rowOff>
    </xdr:to>
    <xdr:pic>
      <xdr:nvPicPr>
        <xdr:cNvPr id="168" name="Picture 167" descr="Club Crest">
          <a:extLst>
            <a:ext uri="{FF2B5EF4-FFF2-40B4-BE49-F238E27FC236}">
              <a16:creationId xmlns:a16="http://schemas.microsoft.com/office/drawing/2014/main" id="{0C6FA5BE-A877-3731-7F8A-6E89DBE01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052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165100</xdr:colOff>
      <xdr:row>81</xdr:row>
      <xdr:rowOff>0</xdr:rowOff>
    </xdr:to>
    <xdr:pic>
      <xdr:nvPicPr>
        <xdr:cNvPr id="169" name="Picture 168" descr="Club Crest">
          <a:extLst>
            <a:ext uri="{FF2B5EF4-FFF2-40B4-BE49-F238E27FC236}">
              <a16:creationId xmlns:a16="http://schemas.microsoft.com/office/drawing/2014/main" id="{AE87F2B8-C9BD-4BA7-F756-0186AFE0E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256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165100</xdr:colOff>
      <xdr:row>82</xdr:row>
      <xdr:rowOff>0</xdr:rowOff>
    </xdr:to>
    <xdr:pic>
      <xdr:nvPicPr>
        <xdr:cNvPr id="170" name="Picture 169" descr="Club Crest">
          <a:extLst>
            <a:ext uri="{FF2B5EF4-FFF2-40B4-BE49-F238E27FC236}">
              <a16:creationId xmlns:a16="http://schemas.microsoft.com/office/drawing/2014/main" id="{7A05A799-DDAD-C2C1-8F46-1F10BAEB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459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165100</xdr:colOff>
      <xdr:row>83</xdr:row>
      <xdr:rowOff>0</xdr:rowOff>
    </xdr:to>
    <xdr:pic>
      <xdr:nvPicPr>
        <xdr:cNvPr id="171" name="Picture 170" descr="Club Crest">
          <a:extLst>
            <a:ext uri="{FF2B5EF4-FFF2-40B4-BE49-F238E27FC236}">
              <a16:creationId xmlns:a16="http://schemas.microsoft.com/office/drawing/2014/main" id="{F086C6B8-7E43-7EC8-1741-A25CC2325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662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165100</xdr:colOff>
      <xdr:row>84</xdr:row>
      <xdr:rowOff>0</xdr:rowOff>
    </xdr:to>
    <xdr:pic>
      <xdr:nvPicPr>
        <xdr:cNvPr id="172" name="Picture 171" descr="Club Crest">
          <a:extLst>
            <a:ext uri="{FF2B5EF4-FFF2-40B4-BE49-F238E27FC236}">
              <a16:creationId xmlns:a16="http://schemas.microsoft.com/office/drawing/2014/main" id="{BE5328E0-633C-5501-F8C2-959D9FA5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6865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165100</xdr:colOff>
      <xdr:row>85</xdr:row>
      <xdr:rowOff>0</xdr:rowOff>
    </xdr:to>
    <xdr:pic>
      <xdr:nvPicPr>
        <xdr:cNvPr id="173" name="Picture 172" descr="Club Crest">
          <a:extLst>
            <a:ext uri="{FF2B5EF4-FFF2-40B4-BE49-F238E27FC236}">
              <a16:creationId xmlns:a16="http://schemas.microsoft.com/office/drawing/2014/main" id="{07728BA7-16C8-5777-8C7E-819473F9E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068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165100</xdr:colOff>
      <xdr:row>86</xdr:row>
      <xdr:rowOff>0</xdr:rowOff>
    </xdr:to>
    <xdr:pic>
      <xdr:nvPicPr>
        <xdr:cNvPr id="174" name="Picture 173" descr="Club Crest">
          <a:extLst>
            <a:ext uri="{FF2B5EF4-FFF2-40B4-BE49-F238E27FC236}">
              <a16:creationId xmlns:a16="http://schemas.microsoft.com/office/drawing/2014/main" id="{BE83C365-8496-3570-A4B3-7D10554B5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272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165100</xdr:colOff>
      <xdr:row>87</xdr:row>
      <xdr:rowOff>0</xdr:rowOff>
    </xdr:to>
    <xdr:pic>
      <xdr:nvPicPr>
        <xdr:cNvPr id="175" name="Picture 174" descr="Club Crest">
          <a:extLst>
            <a:ext uri="{FF2B5EF4-FFF2-40B4-BE49-F238E27FC236}">
              <a16:creationId xmlns:a16="http://schemas.microsoft.com/office/drawing/2014/main" id="{065C5E80-BAE0-5220-6B92-C1C905C14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475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165100</xdr:colOff>
      <xdr:row>88</xdr:row>
      <xdr:rowOff>0</xdr:rowOff>
    </xdr:to>
    <xdr:pic>
      <xdr:nvPicPr>
        <xdr:cNvPr id="176" name="Picture 175" descr="Club Crest">
          <a:extLst>
            <a:ext uri="{FF2B5EF4-FFF2-40B4-BE49-F238E27FC236}">
              <a16:creationId xmlns:a16="http://schemas.microsoft.com/office/drawing/2014/main" id="{48907BBF-75CC-BFE2-8D94-03FAE0C72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678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165100</xdr:colOff>
      <xdr:row>89</xdr:row>
      <xdr:rowOff>0</xdr:rowOff>
    </xdr:to>
    <xdr:pic>
      <xdr:nvPicPr>
        <xdr:cNvPr id="177" name="Picture 176" descr="Club Crest">
          <a:extLst>
            <a:ext uri="{FF2B5EF4-FFF2-40B4-BE49-F238E27FC236}">
              <a16:creationId xmlns:a16="http://schemas.microsoft.com/office/drawing/2014/main" id="{2EA706EF-F8DD-A8FA-6573-659261D9C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78816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165100</xdr:colOff>
      <xdr:row>90</xdr:row>
      <xdr:rowOff>0</xdr:rowOff>
    </xdr:to>
    <xdr:pic>
      <xdr:nvPicPr>
        <xdr:cNvPr id="178" name="Picture 177" descr="Club Crest">
          <a:extLst>
            <a:ext uri="{FF2B5EF4-FFF2-40B4-BE49-F238E27FC236}">
              <a16:creationId xmlns:a16="http://schemas.microsoft.com/office/drawing/2014/main" id="{F452E690-4442-D102-3DCC-25167CA5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0848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165100</xdr:colOff>
      <xdr:row>91</xdr:row>
      <xdr:rowOff>0</xdr:rowOff>
    </xdr:to>
    <xdr:pic>
      <xdr:nvPicPr>
        <xdr:cNvPr id="179" name="Picture 178" descr="Club Crest">
          <a:extLst>
            <a:ext uri="{FF2B5EF4-FFF2-40B4-BE49-F238E27FC236}">
              <a16:creationId xmlns:a16="http://schemas.microsoft.com/office/drawing/2014/main" id="{24AD3241-9986-50C8-9BC9-D7BB44FFE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2880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165100</xdr:colOff>
      <xdr:row>92</xdr:row>
      <xdr:rowOff>0</xdr:rowOff>
    </xdr:to>
    <xdr:pic>
      <xdr:nvPicPr>
        <xdr:cNvPr id="180" name="Picture 179" descr="Club Crest">
          <a:extLst>
            <a:ext uri="{FF2B5EF4-FFF2-40B4-BE49-F238E27FC236}">
              <a16:creationId xmlns:a16="http://schemas.microsoft.com/office/drawing/2014/main" id="{AAC363EB-94DA-77B3-BA94-64768495D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4912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165100</xdr:colOff>
      <xdr:row>93</xdr:row>
      <xdr:rowOff>0</xdr:rowOff>
    </xdr:to>
    <xdr:pic>
      <xdr:nvPicPr>
        <xdr:cNvPr id="181" name="Picture 180" descr="Club Crest">
          <a:extLst>
            <a:ext uri="{FF2B5EF4-FFF2-40B4-BE49-F238E27FC236}">
              <a16:creationId xmlns:a16="http://schemas.microsoft.com/office/drawing/2014/main" id="{868074DE-C9A8-56A8-2C75-240433538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1869440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47c64c55/2020-2021/Crystal-Palace-Stats" TargetMode="External"/><Relationship Id="rId117" Type="http://schemas.openxmlformats.org/officeDocument/2006/relationships/hyperlink" Target="https://fbref.com/en/squads/ad2be733/2018-2019/Sevilla-Stats" TargetMode="External"/><Relationship Id="rId21" Type="http://schemas.openxmlformats.org/officeDocument/2006/relationships/hyperlink" Target="https://fbref.com/en/squads/18bb7c10/2020-2021/Arsenal-Stats" TargetMode="External"/><Relationship Id="rId42" Type="http://schemas.openxmlformats.org/officeDocument/2006/relationships/hyperlink" Target="https://fbref.com/en/squads/8602292d/2023-2024/Aston-Villa-Stats" TargetMode="External"/><Relationship Id="rId47" Type="http://schemas.openxmlformats.org/officeDocument/2006/relationships/hyperlink" Target="https://fbref.com/en/squads/cff3d9bb/2023-2024/Chelsea-Stats" TargetMode="External"/><Relationship Id="rId63" Type="http://schemas.openxmlformats.org/officeDocument/2006/relationships/hyperlink" Target="https://fbref.com/en/squads/2b390eca/2023-2024/Athletic-Club-Stats" TargetMode="External"/><Relationship Id="rId68" Type="http://schemas.openxmlformats.org/officeDocument/2006/relationships/hyperlink" Target="https://fbref.com/en/squads/f25da7fb/2023-2024/Celta-Vigo-Stats" TargetMode="External"/><Relationship Id="rId84" Type="http://schemas.openxmlformats.org/officeDocument/2006/relationships/hyperlink" Target="https://fbref.com/en/squads/206d90db/2020-2021/Barcelona-Stats" TargetMode="External"/><Relationship Id="rId89" Type="http://schemas.openxmlformats.org/officeDocument/2006/relationships/hyperlink" Target="https://fbref.com/en/squads/6c8b07df/2020-2021/Elche-Stats" TargetMode="External"/><Relationship Id="rId112" Type="http://schemas.openxmlformats.org/officeDocument/2006/relationships/hyperlink" Target="https://fbref.com/en/squads/7c6f2c78/2018-2019/Leganes-Stats" TargetMode="External"/><Relationship Id="rId16" Type="http://schemas.openxmlformats.org/officeDocument/2006/relationships/hyperlink" Target="https://fbref.com/en/squads/33c895d4/2018-2019/Southampton-Stats" TargetMode="External"/><Relationship Id="rId107" Type="http://schemas.openxmlformats.org/officeDocument/2006/relationships/hyperlink" Target="https://fbref.com/en/squads/bea5c710/2018-2019/Eibar-Stats" TargetMode="External"/><Relationship Id="rId11" Type="http://schemas.openxmlformats.org/officeDocument/2006/relationships/hyperlink" Target="https://fbref.com/en/squads/a2d435b3/2018-2019/Leicester-City-Stats" TargetMode="External"/><Relationship Id="rId32" Type="http://schemas.openxmlformats.org/officeDocument/2006/relationships/hyperlink" Target="https://fbref.com/en/squads/b8fd03ef/2020-2021/Manchester-City-Stats" TargetMode="External"/><Relationship Id="rId37" Type="http://schemas.openxmlformats.org/officeDocument/2006/relationships/hyperlink" Target="https://fbref.com/en/squads/361ca564/2020-2021/Tottenham-Hotspur-Stats" TargetMode="External"/><Relationship Id="rId53" Type="http://schemas.openxmlformats.org/officeDocument/2006/relationships/hyperlink" Target="https://fbref.com/en/squads/b8fd03ef/2023-2024/Manchester-City-Stats" TargetMode="External"/><Relationship Id="rId58" Type="http://schemas.openxmlformats.org/officeDocument/2006/relationships/hyperlink" Target="https://fbref.com/en/squads/361ca564/2023-2024/Tottenham-Hotspur-Stats" TargetMode="External"/><Relationship Id="rId74" Type="http://schemas.openxmlformats.org/officeDocument/2006/relationships/hyperlink" Target="https://fbref.com/en/squads/03c57e2b/2023-2024/Osasuna-Stats" TargetMode="External"/><Relationship Id="rId79" Type="http://schemas.openxmlformats.org/officeDocument/2006/relationships/hyperlink" Target="https://fbref.com/en/squads/dcc91a7b/2023-2024/Valencia-Stats" TargetMode="External"/><Relationship Id="rId102" Type="http://schemas.openxmlformats.org/officeDocument/2006/relationships/hyperlink" Target="https://fbref.com/en/squads/2b390eca/2018-2019/Athletic-Club-Stats" TargetMode="External"/><Relationship Id="rId5" Type="http://schemas.openxmlformats.org/officeDocument/2006/relationships/hyperlink" Target="https://fbref.com/en/squads/75fae011/2018-2019/Cardiff-City-Stats" TargetMode="External"/><Relationship Id="rId90" Type="http://schemas.openxmlformats.org/officeDocument/2006/relationships/hyperlink" Target="https://fbref.com/en/squads/7848bd64/2020-2021/Getafe-Stats" TargetMode="External"/><Relationship Id="rId95" Type="http://schemas.openxmlformats.org/officeDocument/2006/relationships/hyperlink" Target="https://fbref.com/en/squads/53a2f082/2020-2021/Real-Madrid-Stats" TargetMode="External"/><Relationship Id="rId22" Type="http://schemas.openxmlformats.org/officeDocument/2006/relationships/hyperlink" Target="https://fbref.com/en/squads/8602292d/2020-2021/Aston-Villa-Stats" TargetMode="External"/><Relationship Id="rId27" Type="http://schemas.openxmlformats.org/officeDocument/2006/relationships/hyperlink" Target="https://fbref.com/en/squads/d3fd31cc/2020-2021/Everton-Stats" TargetMode="External"/><Relationship Id="rId43" Type="http://schemas.openxmlformats.org/officeDocument/2006/relationships/hyperlink" Target="https://fbref.com/en/squads/4ba7cbea/2023-2024/Bournemouth-Stats" TargetMode="External"/><Relationship Id="rId48" Type="http://schemas.openxmlformats.org/officeDocument/2006/relationships/hyperlink" Target="https://fbref.com/en/squads/47c64c55/2023-2024/Crystal-Palace-Stats" TargetMode="External"/><Relationship Id="rId64" Type="http://schemas.openxmlformats.org/officeDocument/2006/relationships/hyperlink" Target="https://fbref.com/en/squads/db3b9613/2023-2024/Atletico-Madrid-Stats" TargetMode="External"/><Relationship Id="rId69" Type="http://schemas.openxmlformats.org/officeDocument/2006/relationships/hyperlink" Target="https://fbref.com/en/squads/7848bd64/2023-2024/Getafe-Stats" TargetMode="External"/><Relationship Id="rId113" Type="http://schemas.openxmlformats.org/officeDocument/2006/relationships/hyperlink" Target="https://fbref.com/en/squads/9800b6a1/2018-2019/Levante-Stats" TargetMode="External"/><Relationship Id="rId118" Type="http://schemas.openxmlformats.org/officeDocument/2006/relationships/hyperlink" Target="https://fbref.com/en/squads/dcc91a7b/2018-2019/Valencia-Stats" TargetMode="External"/><Relationship Id="rId80" Type="http://schemas.openxmlformats.org/officeDocument/2006/relationships/hyperlink" Target="https://fbref.com/en/squads/2a8183b3/2023-2024/Villarreal-Stats" TargetMode="External"/><Relationship Id="rId85" Type="http://schemas.openxmlformats.org/officeDocument/2006/relationships/hyperlink" Target="https://fbref.com/en/squads/fc536746/2020-2021/Real-Betis-Stats" TargetMode="External"/><Relationship Id="rId12" Type="http://schemas.openxmlformats.org/officeDocument/2006/relationships/hyperlink" Target="https://fbref.com/en/squads/822bd0ba/2018-2019/Liverpool-Stats" TargetMode="External"/><Relationship Id="rId17" Type="http://schemas.openxmlformats.org/officeDocument/2006/relationships/hyperlink" Target="https://fbref.com/en/squads/361ca564/2018-2019/Tottenham-Hotspur-Stats" TargetMode="External"/><Relationship Id="rId33" Type="http://schemas.openxmlformats.org/officeDocument/2006/relationships/hyperlink" Target="https://fbref.com/en/squads/19538871/2020-2021/Manchester-United-Stats" TargetMode="External"/><Relationship Id="rId38" Type="http://schemas.openxmlformats.org/officeDocument/2006/relationships/hyperlink" Target="https://fbref.com/en/squads/60c6b05f/2020-2021/West-Bromwich-Albion-Stats" TargetMode="External"/><Relationship Id="rId59" Type="http://schemas.openxmlformats.org/officeDocument/2006/relationships/hyperlink" Target="https://fbref.com/en/squads/7c21e445/2023-2024/West-Ham-United-Stats" TargetMode="External"/><Relationship Id="rId103" Type="http://schemas.openxmlformats.org/officeDocument/2006/relationships/hyperlink" Target="https://fbref.com/en/squads/db3b9613/2018-2019/Atletico-Madrid-Stats" TargetMode="External"/><Relationship Id="rId108" Type="http://schemas.openxmlformats.org/officeDocument/2006/relationships/hyperlink" Target="https://fbref.com/en/squads/a8661628/2018-2019/Espanyol-Stats" TargetMode="External"/><Relationship Id="rId54" Type="http://schemas.openxmlformats.org/officeDocument/2006/relationships/hyperlink" Target="https://fbref.com/en/squads/19538871/2023-2024/Manchester-United-Stats" TargetMode="External"/><Relationship Id="rId70" Type="http://schemas.openxmlformats.org/officeDocument/2006/relationships/hyperlink" Target="https://fbref.com/en/squads/9024a00a/2023-2024/Girona-Stats" TargetMode="External"/><Relationship Id="rId75" Type="http://schemas.openxmlformats.org/officeDocument/2006/relationships/hyperlink" Target="https://fbref.com/en/squads/98e8af82/2023-2024/Rayo-Vallecano-Stats" TargetMode="External"/><Relationship Id="rId91" Type="http://schemas.openxmlformats.org/officeDocument/2006/relationships/hyperlink" Target="https://fbref.com/en/squads/a0435291/2020-2021/Granada-Stats" TargetMode="External"/><Relationship Id="rId96" Type="http://schemas.openxmlformats.org/officeDocument/2006/relationships/hyperlink" Target="https://fbref.com/en/squads/e31d1cd9/2020-2021/Real-Sociedad-Stats" TargetMode="External"/><Relationship Id="rId1" Type="http://schemas.openxmlformats.org/officeDocument/2006/relationships/hyperlink" Target="https://fbref.com/en/squads/18bb7c10/2018-2019/Arsenal-Stats" TargetMode="External"/><Relationship Id="rId6" Type="http://schemas.openxmlformats.org/officeDocument/2006/relationships/hyperlink" Target="https://fbref.com/en/squads/cff3d9bb/2018-2019/Chelsea-Stats" TargetMode="External"/><Relationship Id="rId23" Type="http://schemas.openxmlformats.org/officeDocument/2006/relationships/hyperlink" Target="https://fbref.com/en/squads/d07537b9/2020-2021/Brighton-and-Hove-Albion-Stats" TargetMode="External"/><Relationship Id="rId28" Type="http://schemas.openxmlformats.org/officeDocument/2006/relationships/hyperlink" Target="https://fbref.com/en/squads/fd962109/2020-2021/Fulham-Stats" TargetMode="External"/><Relationship Id="rId49" Type="http://schemas.openxmlformats.org/officeDocument/2006/relationships/hyperlink" Target="https://fbref.com/en/squads/d3fd31cc/2023-2024/Everton-Stats" TargetMode="External"/><Relationship Id="rId114" Type="http://schemas.openxmlformats.org/officeDocument/2006/relationships/hyperlink" Target="https://fbref.com/en/squads/98e8af82/2018-2019/Rayo-Vallecano-Stats" TargetMode="External"/><Relationship Id="rId119" Type="http://schemas.openxmlformats.org/officeDocument/2006/relationships/hyperlink" Target="https://fbref.com/en/squads/17859612/2018-2019/Valladolid-Stats" TargetMode="External"/><Relationship Id="rId44" Type="http://schemas.openxmlformats.org/officeDocument/2006/relationships/hyperlink" Target="https://fbref.com/en/squads/cd051869/2023-2024/Brentford-Stats" TargetMode="External"/><Relationship Id="rId60" Type="http://schemas.openxmlformats.org/officeDocument/2006/relationships/hyperlink" Target="https://fbref.com/en/squads/8cec06e1/2023-2024/Wolverhampton-Wanderers-Stats" TargetMode="External"/><Relationship Id="rId65" Type="http://schemas.openxmlformats.org/officeDocument/2006/relationships/hyperlink" Target="https://fbref.com/en/squads/206d90db/2023-2024/Barcelona-Stats" TargetMode="External"/><Relationship Id="rId81" Type="http://schemas.openxmlformats.org/officeDocument/2006/relationships/hyperlink" Target="https://fbref.com/en/squads/8d6fd021/2020-2021/Alaves-Stats" TargetMode="External"/><Relationship Id="rId86" Type="http://schemas.openxmlformats.org/officeDocument/2006/relationships/hyperlink" Target="https://fbref.com/en/squads/ee7c297c/2020-2021/Cadiz-Stats" TargetMode="External"/><Relationship Id="rId4" Type="http://schemas.openxmlformats.org/officeDocument/2006/relationships/hyperlink" Target="https://fbref.com/en/squads/943e8050/2018-2019/Burnley-Stats" TargetMode="External"/><Relationship Id="rId9" Type="http://schemas.openxmlformats.org/officeDocument/2006/relationships/hyperlink" Target="https://fbref.com/en/squads/fd962109/2018-2019/Fulham-Stats" TargetMode="External"/><Relationship Id="rId13" Type="http://schemas.openxmlformats.org/officeDocument/2006/relationships/hyperlink" Target="https://fbref.com/en/squads/b8fd03ef/2018-2019/Manchester-City-Stats" TargetMode="External"/><Relationship Id="rId18" Type="http://schemas.openxmlformats.org/officeDocument/2006/relationships/hyperlink" Target="https://fbref.com/en/squads/2abfe087/2018-2019/Watford-Stats" TargetMode="External"/><Relationship Id="rId39" Type="http://schemas.openxmlformats.org/officeDocument/2006/relationships/hyperlink" Target="https://fbref.com/en/squads/7c21e445/2020-2021/West-Ham-United-Stats" TargetMode="External"/><Relationship Id="rId109" Type="http://schemas.openxmlformats.org/officeDocument/2006/relationships/hyperlink" Target="https://fbref.com/en/squads/7848bd64/2018-2019/Getafe-Stats" TargetMode="External"/><Relationship Id="rId34" Type="http://schemas.openxmlformats.org/officeDocument/2006/relationships/hyperlink" Target="https://fbref.com/en/squads/b2b47a98/2020-2021/Newcastle-United-Stats" TargetMode="External"/><Relationship Id="rId50" Type="http://schemas.openxmlformats.org/officeDocument/2006/relationships/hyperlink" Target="https://fbref.com/en/squads/fd962109/2023-2024/Fulham-Stats" TargetMode="External"/><Relationship Id="rId55" Type="http://schemas.openxmlformats.org/officeDocument/2006/relationships/hyperlink" Target="https://fbref.com/en/squads/b2b47a98/2023-2024/Newcastle-United-Stats" TargetMode="External"/><Relationship Id="rId76" Type="http://schemas.openxmlformats.org/officeDocument/2006/relationships/hyperlink" Target="https://fbref.com/en/squads/53a2f082/2023-2024/Real-Madrid-Stats" TargetMode="External"/><Relationship Id="rId97" Type="http://schemas.openxmlformats.org/officeDocument/2006/relationships/hyperlink" Target="https://fbref.com/en/squads/ad2be733/2020-2021/Sevilla-Stats" TargetMode="External"/><Relationship Id="rId104" Type="http://schemas.openxmlformats.org/officeDocument/2006/relationships/hyperlink" Target="https://fbref.com/en/squads/206d90db/2018-2019/Barcelona-Stats" TargetMode="External"/><Relationship Id="rId120" Type="http://schemas.openxmlformats.org/officeDocument/2006/relationships/hyperlink" Target="https://fbref.com/en/squads/2a8183b3/2018-2019/Villarreal-Stats" TargetMode="External"/><Relationship Id="rId7" Type="http://schemas.openxmlformats.org/officeDocument/2006/relationships/hyperlink" Target="https://fbref.com/en/squads/47c64c55/2018-2019/Crystal-Palace-Stats" TargetMode="External"/><Relationship Id="rId71" Type="http://schemas.openxmlformats.org/officeDocument/2006/relationships/hyperlink" Target="https://fbref.com/en/squads/a0435291/2023-2024/Granada-Stats" TargetMode="External"/><Relationship Id="rId92" Type="http://schemas.openxmlformats.org/officeDocument/2006/relationships/hyperlink" Target="https://fbref.com/en/squads/c6c493e6/2020-2021/Huesca-Stats" TargetMode="External"/><Relationship Id="rId2" Type="http://schemas.openxmlformats.org/officeDocument/2006/relationships/hyperlink" Target="https://fbref.com/en/squads/4ba7cbea/2018-2019/Bournemouth-Stats" TargetMode="External"/><Relationship Id="rId29" Type="http://schemas.openxmlformats.org/officeDocument/2006/relationships/hyperlink" Target="https://fbref.com/en/squads/5bfb9659/2020-2021/Leeds-United-Stats" TargetMode="External"/><Relationship Id="rId24" Type="http://schemas.openxmlformats.org/officeDocument/2006/relationships/hyperlink" Target="https://fbref.com/en/squads/943e8050/2020-2021/Burnley-Stats" TargetMode="External"/><Relationship Id="rId40" Type="http://schemas.openxmlformats.org/officeDocument/2006/relationships/hyperlink" Target="https://fbref.com/en/squads/8cec06e1/2020-2021/Wolverhampton-Wanderers-Stats" TargetMode="External"/><Relationship Id="rId45" Type="http://schemas.openxmlformats.org/officeDocument/2006/relationships/hyperlink" Target="https://fbref.com/en/squads/d07537b9/2023-2024/Brighton-and-Hove-Albion-Stats" TargetMode="External"/><Relationship Id="rId66" Type="http://schemas.openxmlformats.org/officeDocument/2006/relationships/hyperlink" Target="https://fbref.com/en/squads/fc536746/2023-2024/Real-Betis-Stats" TargetMode="External"/><Relationship Id="rId87" Type="http://schemas.openxmlformats.org/officeDocument/2006/relationships/hyperlink" Target="https://fbref.com/en/squads/f25da7fb/2020-2021/Celta-Vigo-Stats" TargetMode="External"/><Relationship Id="rId110" Type="http://schemas.openxmlformats.org/officeDocument/2006/relationships/hyperlink" Target="https://fbref.com/en/squads/9024a00a/2018-2019/Girona-Stats" TargetMode="External"/><Relationship Id="rId115" Type="http://schemas.openxmlformats.org/officeDocument/2006/relationships/hyperlink" Target="https://fbref.com/en/squads/53a2f082/2018-2019/Real-Madrid-Stats" TargetMode="External"/><Relationship Id="rId61" Type="http://schemas.openxmlformats.org/officeDocument/2006/relationships/hyperlink" Target="https://fbref.com/en/squads/8d6fd021/2023-2024/Alaves-Stats" TargetMode="External"/><Relationship Id="rId82" Type="http://schemas.openxmlformats.org/officeDocument/2006/relationships/hyperlink" Target="https://fbref.com/en/squads/2b390eca/2020-2021/Athletic-Club-Stats" TargetMode="External"/><Relationship Id="rId19" Type="http://schemas.openxmlformats.org/officeDocument/2006/relationships/hyperlink" Target="https://fbref.com/en/squads/7c21e445/2018-2019/West-Ham-United-Stats" TargetMode="External"/><Relationship Id="rId14" Type="http://schemas.openxmlformats.org/officeDocument/2006/relationships/hyperlink" Target="https://fbref.com/en/squads/19538871/2018-2019/Manchester-United-Stats" TargetMode="External"/><Relationship Id="rId30" Type="http://schemas.openxmlformats.org/officeDocument/2006/relationships/hyperlink" Target="https://fbref.com/en/squads/a2d435b3/2020-2021/Leicester-City-Stats" TargetMode="External"/><Relationship Id="rId35" Type="http://schemas.openxmlformats.org/officeDocument/2006/relationships/hyperlink" Target="https://fbref.com/en/squads/1df6b87e/2020-2021/Sheffield-United-Stats" TargetMode="External"/><Relationship Id="rId56" Type="http://schemas.openxmlformats.org/officeDocument/2006/relationships/hyperlink" Target="https://fbref.com/en/squads/e4a775cb/2023-2024/Nottingham-Forest-Stats" TargetMode="External"/><Relationship Id="rId77" Type="http://schemas.openxmlformats.org/officeDocument/2006/relationships/hyperlink" Target="https://fbref.com/en/squads/e31d1cd9/2023-2024/Real-Sociedad-Stats" TargetMode="External"/><Relationship Id="rId100" Type="http://schemas.openxmlformats.org/officeDocument/2006/relationships/hyperlink" Target="https://fbref.com/en/squads/2a8183b3/2020-2021/Villarreal-Stats" TargetMode="External"/><Relationship Id="rId105" Type="http://schemas.openxmlformats.org/officeDocument/2006/relationships/hyperlink" Target="https://fbref.com/en/squads/fc536746/2018-2019/Real-Betis-Stats" TargetMode="External"/><Relationship Id="rId8" Type="http://schemas.openxmlformats.org/officeDocument/2006/relationships/hyperlink" Target="https://fbref.com/en/squads/d3fd31cc/2018-2019/Everton-Stats" TargetMode="External"/><Relationship Id="rId51" Type="http://schemas.openxmlformats.org/officeDocument/2006/relationships/hyperlink" Target="https://fbref.com/en/squads/822bd0ba/2023-2024/Liverpool-Stats" TargetMode="External"/><Relationship Id="rId72" Type="http://schemas.openxmlformats.org/officeDocument/2006/relationships/hyperlink" Target="https://fbref.com/en/squads/0049d422/2023-2024/Las-Palmas-Stats" TargetMode="External"/><Relationship Id="rId93" Type="http://schemas.openxmlformats.org/officeDocument/2006/relationships/hyperlink" Target="https://fbref.com/en/squads/9800b6a1/2020-2021/Levante-Stats" TargetMode="External"/><Relationship Id="rId98" Type="http://schemas.openxmlformats.org/officeDocument/2006/relationships/hyperlink" Target="https://fbref.com/en/squads/dcc91a7b/2020-2021/Valencia-Stats" TargetMode="External"/><Relationship Id="rId121" Type="http://schemas.openxmlformats.org/officeDocument/2006/relationships/drawing" Target="../drawings/drawing1.xml"/><Relationship Id="rId3" Type="http://schemas.openxmlformats.org/officeDocument/2006/relationships/hyperlink" Target="https://fbref.com/en/squads/d07537b9/2018-2019/Brighton-and-Hove-Albion-Stats" TargetMode="External"/><Relationship Id="rId25" Type="http://schemas.openxmlformats.org/officeDocument/2006/relationships/hyperlink" Target="https://fbref.com/en/squads/cff3d9bb/2020-2021/Chelsea-Stats" TargetMode="External"/><Relationship Id="rId46" Type="http://schemas.openxmlformats.org/officeDocument/2006/relationships/hyperlink" Target="https://fbref.com/en/squads/943e8050/2023-2024/Burnley-Stats" TargetMode="External"/><Relationship Id="rId67" Type="http://schemas.openxmlformats.org/officeDocument/2006/relationships/hyperlink" Target="https://fbref.com/en/squads/ee7c297c/2023-2024/Cadiz-Stats" TargetMode="External"/><Relationship Id="rId116" Type="http://schemas.openxmlformats.org/officeDocument/2006/relationships/hyperlink" Target="https://fbref.com/en/squads/e31d1cd9/2018-2019/Real-Sociedad-Stats" TargetMode="External"/><Relationship Id="rId20" Type="http://schemas.openxmlformats.org/officeDocument/2006/relationships/hyperlink" Target="https://fbref.com/en/squads/8cec06e1/2018-2019/Wolverhampton-Wanderers-Stats" TargetMode="External"/><Relationship Id="rId41" Type="http://schemas.openxmlformats.org/officeDocument/2006/relationships/hyperlink" Target="https://fbref.com/en/squads/18bb7c10/2023-2024/Arsenal-Stats" TargetMode="External"/><Relationship Id="rId62" Type="http://schemas.openxmlformats.org/officeDocument/2006/relationships/hyperlink" Target="https://fbref.com/en/squads/78ecf4bb/2023-2024/Almeria-Stats" TargetMode="External"/><Relationship Id="rId83" Type="http://schemas.openxmlformats.org/officeDocument/2006/relationships/hyperlink" Target="https://fbref.com/en/squads/db3b9613/2020-2021/Atletico-Madrid-Stats" TargetMode="External"/><Relationship Id="rId88" Type="http://schemas.openxmlformats.org/officeDocument/2006/relationships/hyperlink" Target="https://fbref.com/en/squads/bea5c710/2020-2021/Eibar-Stats" TargetMode="External"/><Relationship Id="rId111" Type="http://schemas.openxmlformats.org/officeDocument/2006/relationships/hyperlink" Target="https://fbref.com/en/squads/c6c493e6/2018-2019/Huesca-Stats" TargetMode="External"/><Relationship Id="rId15" Type="http://schemas.openxmlformats.org/officeDocument/2006/relationships/hyperlink" Target="https://fbref.com/en/squads/b2b47a98/2018-2019/Newcastle-United-Stats" TargetMode="External"/><Relationship Id="rId36" Type="http://schemas.openxmlformats.org/officeDocument/2006/relationships/hyperlink" Target="https://fbref.com/en/squads/33c895d4/2020-2021/Southampton-Stats" TargetMode="External"/><Relationship Id="rId57" Type="http://schemas.openxmlformats.org/officeDocument/2006/relationships/hyperlink" Target="https://fbref.com/en/squads/1df6b87e/2023-2024/Sheffield-United-Stats" TargetMode="External"/><Relationship Id="rId106" Type="http://schemas.openxmlformats.org/officeDocument/2006/relationships/hyperlink" Target="https://fbref.com/en/squads/f25da7fb/2018-2019/Celta-Vigo-Stats" TargetMode="External"/><Relationship Id="rId10" Type="http://schemas.openxmlformats.org/officeDocument/2006/relationships/hyperlink" Target="https://fbref.com/en/squads/f5922ca5/2018-2019/Huddersfield-Town-Stats" TargetMode="External"/><Relationship Id="rId31" Type="http://schemas.openxmlformats.org/officeDocument/2006/relationships/hyperlink" Target="https://fbref.com/en/squads/822bd0ba/2020-2021/Liverpool-Stats" TargetMode="External"/><Relationship Id="rId52" Type="http://schemas.openxmlformats.org/officeDocument/2006/relationships/hyperlink" Target="https://fbref.com/en/squads/e297cd13/2023-2024/Luton-Town-Stats" TargetMode="External"/><Relationship Id="rId73" Type="http://schemas.openxmlformats.org/officeDocument/2006/relationships/hyperlink" Target="https://fbref.com/en/squads/2aa12281/2023-2024/Mallorca-Stats" TargetMode="External"/><Relationship Id="rId78" Type="http://schemas.openxmlformats.org/officeDocument/2006/relationships/hyperlink" Target="https://fbref.com/en/squads/ad2be733/2023-2024/Sevilla-Stats" TargetMode="External"/><Relationship Id="rId94" Type="http://schemas.openxmlformats.org/officeDocument/2006/relationships/hyperlink" Target="https://fbref.com/en/squads/03c57e2b/2020-2021/Osasuna-Stats" TargetMode="External"/><Relationship Id="rId99" Type="http://schemas.openxmlformats.org/officeDocument/2006/relationships/hyperlink" Target="https://fbref.com/en/squads/17859612/2020-2021/Valladolid-Stats" TargetMode="External"/><Relationship Id="rId101" Type="http://schemas.openxmlformats.org/officeDocument/2006/relationships/hyperlink" Target="https://fbref.com/en/squads/8d6fd021/2018-2019/Alaves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78CB-FBEB-E24D-AD75-7E6D6F719B46}">
  <dimension ref="A1:AC139"/>
  <sheetViews>
    <sheetView showGridLines="0" workbookViewId="0"/>
  </sheetViews>
  <sheetFormatPr baseColWidth="10" defaultRowHeight="13" x14ac:dyDescent="0.15"/>
  <cols>
    <col min="1" max="1" width="10.83203125" style="1"/>
    <col min="2" max="2" width="15.1640625" style="1" bestFit="1" customWidth="1"/>
    <col min="3" max="3" width="12.1640625" style="1" bestFit="1" customWidth="1"/>
    <col min="4" max="16384" width="10.83203125" style="1"/>
  </cols>
  <sheetData>
    <row r="1" spans="1:29" x14ac:dyDescent="0.15">
      <c r="A1" s="2"/>
      <c r="B1" s="2"/>
      <c r="AC1" s="2"/>
    </row>
    <row r="2" spans="1:29" x14ac:dyDescent="0.15">
      <c r="A2" s="76" t="s">
        <v>20</v>
      </c>
      <c r="B2" s="4" t="s">
        <v>21</v>
      </c>
      <c r="C2" s="76" t="s">
        <v>37</v>
      </c>
      <c r="D2" s="76" t="s">
        <v>35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 t="s">
        <v>36</v>
      </c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 spans="1:29" x14ac:dyDescent="0.15">
      <c r="A3" s="76"/>
      <c r="B3" s="4" t="s">
        <v>39</v>
      </c>
      <c r="C3" s="76"/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4" t="s">
        <v>34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  <c r="Y3" s="4" t="s">
        <v>30</v>
      </c>
      <c r="Z3" s="4" t="s">
        <v>31</v>
      </c>
      <c r="AA3" s="4" t="s">
        <v>32</v>
      </c>
      <c r="AB3" s="4" t="s">
        <v>33</v>
      </c>
      <c r="AC3" s="4" t="s">
        <v>34</v>
      </c>
    </row>
    <row r="4" spans="1:29" x14ac:dyDescent="0.15">
      <c r="A4" s="5">
        <v>5</v>
      </c>
      <c r="B4" s="3" t="s">
        <v>4</v>
      </c>
      <c r="C4" s="8">
        <v>59899</v>
      </c>
      <c r="D4" s="5">
        <v>19</v>
      </c>
      <c r="E4" s="5">
        <v>14</v>
      </c>
      <c r="F4" s="5">
        <v>3</v>
      </c>
      <c r="G4" s="5">
        <v>2</v>
      </c>
      <c r="H4" s="5">
        <v>42</v>
      </c>
      <c r="I4" s="5">
        <v>16</v>
      </c>
      <c r="J4" s="5">
        <v>26</v>
      </c>
      <c r="K4" s="5">
        <v>45</v>
      </c>
      <c r="L4" s="5">
        <v>2.37</v>
      </c>
      <c r="M4" s="5">
        <v>34.6</v>
      </c>
      <c r="N4" s="5">
        <v>23.5</v>
      </c>
      <c r="O4" s="5">
        <v>11</v>
      </c>
      <c r="P4" s="5">
        <v>0.57999999999999996</v>
      </c>
      <c r="Q4" s="5">
        <v>19</v>
      </c>
      <c r="R4" s="5">
        <v>7</v>
      </c>
      <c r="S4" s="5">
        <v>4</v>
      </c>
      <c r="T4" s="5">
        <v>8</v>
      </c>
      <c r="U4" s="5">
        <v>31</v>
      </c>
      <c r="V4" s="5">
        <v>35</v>
      </c>
      <c r="W4" s="5">
        <v>-4</v>
      </c>
      <c r="X4" s="5">
        <v>25</v>
      </c>
      <c r="Y4" s="5">
        <v>1.32</v>
      </c>
      <c r="Z4" s="5">
        <v>25.5</v>
      </c>
      <c r="AA4" s="5">
        <v>30.7</v>
      </c>
      <c r="AB4" s="5">
        <v>-5.2</v>
      </c>
      <c r="AC4" s="5">
        <v>-0.27</v>
      </c>
    </row>
    <row r="5" spans="1:29" x14ac:dyDescent="0.15">
      <c r="A5" s="5">
        <v>14</v>
      </c>
      <c r="B5" s="3" t="s">
        <v>13</v>
      </c>
      <c r="C5" s="8">
        <v>10532</v>
      </c>
      <c r="D5" s="5">
        <v>19</v>
      </c>
      <c r="E5" s="5">
        <v>8</v>
      </c>
      <c r="F5" s="5">
        <v>5</v>
      </c>
      <c r="G5" s="5">
        <v>6</v>
      </c>
      <c r="H5" s="5">
        <v>30</v>
      </c>
      <c r="I5" s="5">
        <v>25</v>
      </c>
      <c r="J5" s="5">
        <v>5</v>
      </c>
      <c r="K5" s="5">
        <v>29</v>
      </c>
      <c r="L5" s="5">
        <v>1.53</v>
      </c>
      <c r="M5" s="5">
        <v>27.7</v>
      </c>
      <c r="N5" s="5">
        <v>25.2</v>
      </c>
      <c r="O5" s="5">
        <v>2.5</v>
      </c>
      <c r="P5" s="5">
        <v>0.13</v>
      </c>
      <c r="Q5" s="5">
        <v>19</v>
      </c>
      <c r="R5" s="5">
        <v>5</v>
      </c>
      <c r="S5" s="5">
        <v>1</v>
      </c>
      <c r="T5" s="5">
        <v>13</v>
      </c>
      <c r="U5" s="5">
        <v>26</v>
      </c>
      <c r="V5" s="5">
        <v>45</v>
      </c>
      <c r="W5" s="5">
        <v>-19</v>
      </c>
      <c r="X5" s="5">
        <v>16</v>
      </c>
      <c r="Y5" s="5">
        <v>0.84</v>
      </c>
      <c r="Z5" s="5">
        <v>25.6</v>
      </c>
      <c r="AA5" s="5">
        <v>32</v>
      </c>
      <c r="AB5" s="5">
        <v>-6.4</v>
      </c>
      <c r="AC5" s="5">
        <v>-0.34</v>
      </c>
    </row>
    <row r="6" spans="1:29" x14ac:dyDescent="0.15">
      <c r="A6" s="5">
        <v>17</v>
      </c>
      <c r="B6" s="3" t="s">
        <v>16</v>
      </c>
      <c r="C6" s="8">
        <v>30426</v>
      </c>
      <c r="D6" s="5">
        <v>19</v>
      </c>
      <c r="E6" s="5">
        <v>6</v>
      </c>
      <c r="F6" s="5">
        <v>5</v>
      </c>
      <c r="G6" s="5">
        <v>8</v>
      </c>
      <c r="H6" s="5">
        <v>19</v>
      </c>
      <c r="I6" s="5">
        <v>28</v>
      </c>
      <c r="J6" s="5">
        <v>-9</v>
      </c>
      <c r="K6" s="5">
        <v>23</v>
      </c>
      <c r="L6" s="5">
        <v>1.21</v>
      </c>
      <c r="M6" s="5">
        <v>19.899999999999999</v>
      </c>
      <c r="N6" s="5">
        <v>24</v>
      </c>
      <c r="O6" s="5">
        <v>-4.0999999999999996</v>
      </c>
      <c r="P6" s="5">
        <v>-0.22</v>
      </c>
      <c r="Q6" s="5">
        <v>19</v>
      </c>
      <c r="R6" s="5">
        <v>3</v>
      </c>
      <c r="S6" s="5">
        <v>4</v>
      </c>
      <c r="T6" s="5">
        <v>12</v>
      </c>
      <c r="U6" s="5">
        <v>16</v>
      </c>
      <c r="V6" s="5">
        <v>32</v>
      </c>
      <c r="W6" s="5">
        <v>-16</v>
      </c>
      <c r="X6" s="5">
        <v>13</v>
      </c>
      <c r="Y6" s="5">
        <v>0.68</v>
      </c>
      <c r="Z6" s="5">
        <v>15.4</v>
      </c>
      <c r="AA6" s="5">
        <v>35.1</v>
      </c>
      <c r="AB6" s="5">
        <v>-19.7</v>
      </c>
      <c r="AC6" s="5">
        <v>-1.04</v>
      </c>
    </row>
    <row r="7" spans="1:29" x14ac:dyDescent="0.15">
      <c r="A7" s="5">
        <v>15</v>
      </c>
      <c r="B7" s="3" t="s">
        <v>14</v>
      </c>
      <c r="C7" s="8">
        <v>20534</v>
      </c>
      <c r="D7" s="5">
        <v>19</v>
      </c>
      <c r="E7" s="5">
        <v>7</v>
      </c>
      <c r="F7" s="5">
        <v>2</v>
      </c>
      <c r="G7" s="5">
        <v>10</v>
      </c>
      <c r="H7" s="5">
        <v>24</v>
      </c>
      <c r="I7" s="5">
        <v>32</v>
      </c>
      <c r="J7" s="5">
        <v>-8</v>
      </c>
      <c r="K7" s="5">
        <v>23</v>
      </c>
      <c r="L7" s="5">
        <v>1.21</v>
      </c>
      <c r="M7" s="5">
        <v>25.6</v>
      </c>
      <c r="N7" s="5">
        <v>26.3</v>
      </c>
      <c r="O7" s="5">
        <v>-0.8</v>
      </c>
      <c r="P7" s="5">
        <v>-0.04</v>
      </c>
      <c r="Q7" s="5">
        <v>19</v>
      </c>
      <c r="R7" s="5">
        <v>4</v>
      </c>
      <c r="S7" s="5">
        <v>5</v>
      </c>
      <c r="T7" s="5">
        <v>10</v>
      </c>
      <c r="U7" s="5">
        <v>21</v>
      </c>
      <c r="V7" s="5">
        <v>36</v>
      </c>
      <c r="W7" s="5">
        <v>-15</v>
      </c>
      <c r="X7" s="5">
        <v>17</v>
      </c>
      <c r="Y7" s="5">
        <v>0.89</v>
      </c>
      <c r="Z7" s="5">
        <v>18.8</v>
      </c>
      <c r="AA7" s="5">
        <v>35.700000000000003</v>
      </c>
      <c r="AB7" s="5">
        <v>-16.899999999999999</v>
      </c>
      <c r="AC7" s="5">
        <v>-0.89</v>
      </c>
    </row>
    <row r="8" spans="1:29" x14ac:dyDescent="0.15">
      <c r="A8" s="5">
        <v>18</v>
      </c>
      <c r="B8" s="3" t="s">
        <v>17</v>
      </c>
      <c r="C8" s="8">
        <v>31408</v>
      </c>
      <c r="D8" s="5">
        <v>19</v>
      </c>
      <c r="E8" s="5">
        <v>6</v>
      </c>
      <c r="F8" s="5">
        <v>2</v>
      </c>
      <c r="G8" s="5">
        <v>11</v>
      </c>
      <c r="H8" s="5">
        <v>21</v>
      </c>
      <c r="I8" s="5">
        <v>38</v>
      </c>
      <c r="J8" s="5">
        <v>-17</v>
      </c>
      <c r="K8" s="5">
        <v>20</v>
      </c>
      <c r="L8" s="5">
        <v>1.05</v>
      </c>
      <c r="M8" s="5">
        <v>24.6</v>
      </c>
      <c r="N8" s="5">
        <v>25.5</v>
      </c>
      <c r="O8" s="5">
        <v>-1</v>
      </c>
      <c r="P8" s="5">
        <v>-0.05</v>
      </c>
      <c r="Q8" s="5">
        <v>19</v>
      </c>
      <c r="R8" s="5">
        <v>4</v>
      </c>
      <c r="S8" s="5">
        <v>2</v>
      </c>
      <c r="T8" s="5">
        <v>13</v>
      </c>
      <c r="U8" s="5">
        <v>13</v>
      </c>
      <c r="V8" s="5">
        <v>31</v>
      </c>
      <c r="W8" s="5">
        <v>-18</v>
      </c>
      <c r="X8" s="5">
        <v>14</v>
      </c>
      <c r="Y8" s="5">
        <v>0.74</v>
      </c>
      <c r="Z8" s="5">
        <v>17.8</v>
      </c>
      <c r="AA8" s="5">
        <v>35.9</v>
      </c>
      <c r="AB8" s="5">
        <v>-18.2</v>
      </c>
      <c r="AC8" s="5">
        <v>-0.96</v>
      </c>
    </row>
    <row r="9" spans="1:29" x14ac:dyDescent="0.15">
      <c r="A9" s="5">
        <v>3</v>
      </c>
      <c r="B9" s="3" t="s">
        <v>2</v>
      </c>
      <c r="C9" s="8">
        <v>40437</v>
      </c>
      <c r="D9" s="5">
        <v>19</v>
      </c>
      <c r="E9" s="5">
        <v>12</v>
      </c>
      <c r="F9" s="5">
        <v>6</v>
      </c>
      <c r="G9" s="5">
        <v>1</v>
      </c>
      <c r="H9" s="5">
        <v>39</v>
      </c>
      <c r="I9" s="5">
        <v>12</v>
      </c>
      <c r="J9" s="5">
        <v>27</v>
      </c>
      <c r="K9" s="5">
        <v>42</v>
      </c>
      <c r="L9" s="5">
        <v>2.21</v>
      </c>
      <c r="M9" s="5">
        <v>31</v>
      </c>
      <c r="N9" s="5">
        <v>14.4</v>
      </c>
      <c r="O9" s="5">
        <v>16.600000000000001</v>
      </c>
      <c r="P9" s="5">
        <v>0.87</v>
      </c>
      <c r="Q9" s="5">
        <v>19</v>
      </c>
      <c r="R9" s="5">
        <v>9</v>
      </c>
      <c r="S9" s="5">
        <v>3</v>
      </c>
      <c r="T9" s="5">
        <v>7</v>
      </c>
      <c r="U9" s="5">
        <v>24</v>
      </c>
      <c r="V9" s="5">
        <v>27</v>
      </c>
      <c r="W9" s="5">
        <v>-3</v>
      </c>
      <c r="X9" s="5">
        <v>30</v>
      </c>
      <c r="Y9" s="5">
        <v>1.58</v>
      </c>
      <c r="Z9" s="5">
        <v>27.6</v>
      </c>
      <c r="AA9" s="5">
        <v>22</v>
      </c>
      <c r="AB9" s="5">
        <v>5.6</v>
      </c>
      <c r="AC9" s="5">
        <v>0.28999999999999998</v>
      </c>
    </row>
    <row r="10" spans="1:29" x14ac:dyDescent="0.15">
      <c r="A10" s="5">
        <v>12</v>
      </c>
      <c r="B10" s="3" t="s">
        <v>11</v>
      </c>
      <c r="C10" s="8">
        <v>25455</v>
      </c>
      <c r="D10" s="5">
        <v>19</v>
      </c>
      <c r="E10" s="5">
        <v>5</v>
      </c>
      <c r="F10" s="5">
        <v>5</v>
      </c>
      <c r="G10" s="5">
        <v>9</v>
      </c>
      <c r="H10" s="5">
        <v>19</v>
      </c>
      <c r="I10" s="5">
        <v>23</v>
      </c>
      <c r="J10" s="5">
        <v>-4</v>
      </c>
      <c r="K10" s="5">
        <v>20</v>
      </c>
      <c r="L10" s="5">
        <v>1.05</v>
      </c>
      <c r="M10" s="5">
        <v>28.1</v>
      </c>
      <c r="N10" s="5">
        <v>23.5</v>
      </c>
      <c r="O10" s="5">
        <v>4.7</v>
      </c>
      <c r="P10" s="5">
        <v>0.25</v>
      </c>
      <c r="Q10" s="5">
        <v>19</v>
      </c>
      <c r="R10" s="5">
        <v>9</v>
      </c>
      <c r="S10" s="5">
        <v>2</v>
      </c>
      <c r="T10" s="5">
        <v>8</v>
      </c>
      <c r="U10" s="5">
        <v>32</v>
      </c>
      <c r="V10" s="5">
        <v>30</v>
      </c>
      <c r="W10" s="5">
        <v>2</v>
      </c>
      <c r="X10" s="5">
        <v>29</v>
      </c>
      <c r="Y10" s="5">
        <v>1.53</v>
      </c>
      <c r="Z10" s="5">
        <v>19.5</v>
      </c>
      <c r="AA10" s="5">
        <v>26.6</v>
      </c>
      <c r="AB10" s="5">
        <v>-7.2</v>
      </c>
      <c r="AC10" s="5">
        <v>-0.38</v>
      </c>
    </row>
    <row r="11" spans="1:29" x14ac:dyDescent="0.15">
      <c r="A11" s="5">
        <v>8</v>
      </c>
      <c r="B11" s="3" t="s">
        <v>7</v>
      </c>
      <c r="C11" s="8">
        <v>39043</v>
      </c>
      <c r="D11" s="5">
        <v>19</v>
      </c>
      <c r="E11" s="5">
        <v>10</v>
      </c>
      <c r="F11" s="5">
        <v>4</v>
      </c>
      <c r="G11" s="5">
        <v>5</v>
      </c>
      <c r="H11" s="5">
        <v>30</v>
      </c>
      <c r="I11" s="5">
        <v>21</v>
      </c>
      <c r="J11" s="5">
        <v>9</v>
      </c>
      <c r="K11" s="5">
        <v>34</v>
      </c>
      <c r="L11" s="5">
        <v>1.79</v>
      </c>
      <c r="M11" s="5">
        <v>28</v>
      </c>
      <c r="N11" s="5">
        <v>21.7</v>
      </c>
      <c r="O11" s="5">
        <v>6.2</v>
      </c>
      <c r="P11" s="5">
        <v>0.33</v>
      </c>
      <c r="Q11" s="5">
        <v>19</v>
      </c>
      <c r="R11" s="5">
        <v>5</v>
      </c>
      <c r="S11" s="5">
        <v>5</v>
      </c>
      <c r="T11" s="5">
        <v>9</v>
      </c>
      <c r="U11" s="5">
        <v>24</v>
      </c>
      <c r="V11" s="5">
        <v>25</v>
      </c>
      <c r="W11" s="5">
        <v>-1</v>
      </c>
      <c r="X11" s="5">
        <v>20</v>
      </c>
      <c r="Y11" s="5">
        <v>1.05</v>
      </c>
      <c r="Z11" s="5">
        <v>21.7</v>
      </c>
      <c r="AA11" s="5">
        <v>24</v>
      </c>
      <c r="AB11" s="5">
        <v>-2.2999999999999998</v>
      </c>
      <c r="AC11" s="5">
        <v>-0.12</v>
      </c>
    </row>
    <row r="12" spans="1:29" x14ac:dyDescent="0.15">
      <c r="A12" s="5">
        <v>19</v>
      </c>
      <c r="B12" s="3" t="s">
        <v>18</v>
      </c>
      <c r="C12" s="8">
        <v>24371</v>
      </c>
      <c r="D12" s="5">
        <v>19</v>
      </c>
      <c r="E12" s="5">
        <v>6</v>
      </c>
      <c r="F12" s="5">
        <v>3</v>
      </c>
      <c r="G12" s="5">
        <v>10</v>
      </c>
      <c r="H12" s="5">
        <v>22</v>
      </c>
      <c r="I12" s="5">
        <v>36</v>
      </c>
      <c r="J12" s="5">
        <v>-14</v>
      </c>
      <c r="K12" s="5">
        <v>21</v>
      </c>
      <c r="L12" s="5">
        <v>1.1100000000000001</v>
      </c>
      <c r="M12" s="5">
        <v>24</v>
      </c>
      <c r="N12" s="5">
        <v>27.8</v>
      </c>
      <c r="O12" s="5">
        <v>-3.7</v>
      </c>
      <c r="P12" s="5">
        <v>-0.2</v>
      </c>
      <c r="Q12" s="5">
        <v>19</v>
      </c>
      <c r="R12" s="5">
        <v>1</v>
      </c>
      <c r="S12" s="5">
        <v>2</v>
      </c>
      <c r="T12" s="5">
        <v>16</v>
      </c>
      <c r="U12" s="5">
        <v>12</v>
      </c>
      <c r="V12" s="5">
        <v>45</v>
      </c>
      <c r="W12" s="5">
        <v>-33</v>
      </c>
      <c r="X12" s="5">
        <v>5</v>
      </c>
      <c r="Y12" s="5">
        <v>0.26</v>
      </c>
      <c r="Z12" s="5">
        <v>17.3</v>
      </c>
      <c r="AA12" s="5">
        <v>40.4</v>
      </c>
      <c r="AB12" s="5">
        <v>-23.1</v>
      </c>
      <c r="AC12" s="5">
        <v>-1.22</v>
      </c>
    </row>
    <row r="13" spans="1:29" x14ac:dyDescent="0.15">
      <c r="A13" s="5">
        <v>20</v>
      </c>
      <c r="B13" s="3" t="s">
        <v>19</v>
      </c>
      <c r="C13" s="8">
        <v>23203</v>
      </c>
      <c r="D13" s="5">
        <v>19</v>
      </c>
      <c r="E13" s="5">
        <v>2</v>
      </c>
      <c r="F13" s="5">
        <v>3</v>
      </c>
      <c r="G13" s="5">
        <v>14</v>
      </c>
      <c r="H13" s="5">
        <v>10</v>
      </c>
      <c r="I13" s="5">
        <v>31</v>
      </c>
      <c r="J13" s="5">
        <v>-21</v>
      </c>
      <c r="K13" s="5">
        <v>9</v>
      </c>
      <c r="L13" s="5">
        <v>0.47</v>
      </c>
      <c r="M13" s="5">
        <v>16.2</v>
      </c>
      <c r="N13" s="5">
        <v>28</v>
      </c>
      <c r="O13" s="5">
        <v>-11.8</v>
      </c>
      <c r="P13" s="5">
        <v>-0.62</v>
      </c>
      <c r="Q13" s="5">
        <v>19</v>
      </c>
      <c r="R13" s="5">
        <v>1</v>
      </c>
      <c r="S13" s="5">
        <v>4</v>
      </c>
      <c r="T13" s="5">
        <v>14</v>
      </c>
      <c r="U13" s="5">
        <v>12</v>
      </c>
      <c r="V13" s="5">
        <v>45</v>
      </c>
      <c r="W13" s="5">
        <v>-33</v>
      </c>
      <c r="X13" s="5">
        <v>7</v>
      </c>
      <c r="Y13" s="5">
        <v>0.37</v>
      </c>
      <c r="Z13" s="5">
        <v>12.6</v>
      </c>
      <c r="AA13" s="5">
        <v>32.9</v>
      </c>
      <c r="AB13" s="5">
        <v>-20.3</v>
      </c>
      <c r="AC13" s="5">
        <v>-1.07</v>
      </c>
    </row>
    <row r="14" spans="1:29" x14ac:dyDescent="0.15">
      <c r="A14" s="5">
        <v>9</v>
      </c>
      <c r="B14" s="3" t="s">
        <v>8</v>
      </c>
      <c r="C14" s="8">
        <v>31851</v>
      </c>
      <c r="D14" s="5">
        <v>19</v>
      </c>
      <c r="E14" s="5">
        <v>8</v>
      </c>
      <c r="F14" s="5">
        <v>3</v>
      </c>
      <c r="G14" s="5">
        <v>8</v>
      </c>
      <c r="H14" s="5">
        <v>24</v>
      </c>
      <c r="I14" s="5">
        <v>20</v>
      </c>
      <c r="J14" s="5">
        <v>4</v>
      </c>
      <c r="K14" s="5">
        <v>27</v>
      </c>
      <c r="L14" s="5">
        <v>1.42</v>
      </c>
      <c r="M14" s="5">
        <v>26.3</v>
      </c>
      <c r="N14" s="5">
        <v>19.899999999999999</v>
      </c>
      <c r="O14" s="5">
        <v>6.5</v>
      </c>
      <c r="P14" s="5">
        <v>0.34</v>
      </c>
      <c r="Q14" s="5">
        <v>19</v>
      </c>
      <c r="R14" s="5">
        <v>7</v>
      </c>
      <c r="S14" s="5">
        <v>4</v>
      </c>
      <c r="T14" s="5">
        <v>8</v>
      </c>
      <c r="U14" s="5">
        <v>27</v>
      </c>
      <c r="V14" s="5">
        <v>28</v>
      </c>
      <c r="W14" s="5">
        <v>-1</v>
      </c>
      <c r="X14" s="5">
        <v>25</v>
      </c>
      <c r="Y14" s="5">
        <v>1.32</v>
      </c>
      <c r="Z14" s="5">
        <v>26.1</v>
      </c>
      <c r="AA14" s="5">
        <v>23.8</v>
      </c>
      <c r="AB14" s="5">
        <v>2.2999999999999998</v>
      </c>
      <c r="AC14" s="5">
        <v>0.12</v>
      </c>
    </row>
    <row r="15" spans="1:29" x14ac:dyDescent="0.15">
      <c r="A15" s="5">
        <v>2</v>
      </c>
      <c r="B15" s="3" t="s">
        <v>1</v>
      </c>
      <c r="C15" s="8">
        <v>52983</v>
      </c>
      <c r="D15" s="5">
        <v>19</v>
      </c>
      <c r="E15" s="5">
        <v>17</v>
      </c>
      <c r="F15" s="5">
        <v>2</v>
      </c>
      <c r="G15" s="5">
        <v>0</v>
      </c>
      <c r="H15" s="5">
        <v>55</v>
      </c>
      <c r="I15" s="5">
        <v>10</v>
      </c>
      <c r="J15" s="5">
        <v>45</v>
      </c>
      <c r="K15" s="5">
        <v>53</v>
      </c>
      <c r="L15" s="5">
        <v>2.79</v>
      </c>
      <c r="M15" s="5">
        <v>42.2</v>
      </c>
      <c r="N15" s="5">
        <v>13.2</v>
      </c>
      <c r="O15" s="5">
        <v>28.9</v>
      </c>
      <c r="P15" s="5">
        <v>1.52</v>
      </c>
      <c r="Q15" s="5">
        <v>19</v>
      </c>
      <c r="R15" s="5">
        <v>13</v>
      </c>
      <c r="S15" s="5">
        <v>5</v>
      </c>
      <c r="T15" s="5">
        <v>1</v>
      </c>
      <c r="U15" s="5">
        <v>34</v>
      </c>
      <c r="V15" s="5">
        <v>12</v>
      </c>
      <c r="W15" s="5">
        <v>22</v>
      </c>
      <c r="X15" s="5">
        <v>44</v>
      </c>
      <c r="Y15" s="5">
        <v>2.3199999999999998</v>
      </c>
      <c r="Z15" s="5">
        <v>31.6</v>
      </c>
      <c r="AA15" s="5">
        <v>15.6</v>
      </c>
      <c r="AB15" s="5">
        <v>16</v>
      </c>
      <c r="AC15" s="5">
        <v>0.84</v>
      </c>
    </row>
    <row r="16" spans="1:29" x14ac:dyDescent="0.15">
      <c r="A16" s="5">
        <v>1</v>
      </c>
      <c r="B16" s="3" t="s">
        <v>0</v>
      </c>
      <c r="C16" s="8">
        <v>54130</v>
      </c>
      <c r="D16" s="5">
        <v>19</v>
      </c>
      <c r="E16" s="5">
        <v>18</v>
      </c>
      <c r="F16" s="5">
        <v>0</v>
      </c>
      <c r="G16" s="5">
        <v>1</v>
      </c>
      <c r="H16" s="5">
        <v>57</v>
      </c>
      <c r="I16" s="5">
        <v>12</v>
      </c>
      <c r="J16" s="5">
        <v>45</v>
      </c>
      <c r="K16" s="5">
        <v>54</v>
      </c>
      <c r="L16" s="5">
        <v>2.84</v>
      </c>
      <c r="M16" s="5">
        <v>50.1</v>
      </c>
      <c r="N16" s="5">
        <v>13.5</v>
      </c>
      <c r="O16" s="5">
        <v>36.6</v>
      </c>
      <c r="P16" s="5">
        <v>1.93</v>
      </c>
      <c r="Q16" s="5">
        <v>19</v>
      </c>
      <c r="R16" s="5">
        <v>14</v>
      </c>
      <c r="S16" s="5">
        <v>2</v>
      </c>
      <c r="T16" s="5">
        <v>3</v>
      </c>
      <c r="U16" s="5">
        <v>38</v>
      </c>
      <c r="V16" s="5">
        <v>11</v>
      </c>
      <c r="W16" s="5">
        <v>27</v>
      </c>
      <c r="X16" s="5">
        <v>44</v>
      </c>
      <c r="Y16" s="5">
        <v>2.3199999999999998</v>
      </c>
      <c r="Z16" s="5">
        <v>34.200000000000003</v>
      </c>
      <c r="AA16" s="5">
        <v>11.3</v>
      </c>
      <c r="AB16" s="5">
        <v>23</v>
      </c>
      <c r="AC16" s="5">
        <v>1.21</v>
      </c>
    </row>
    <row r="17" spans="1:29" x14ac:dyDescent="0.15">
      <c r="A17" s="5">
        <v>6</v>
      </c>
      <c r="B17" s="3" t="s">
        <v>5</v>
      </c>
      <c r="C17" s="8">
        <v>74498</v>
      </c>
      <c r="D17" s="5">
        <v>19</v>
      </c>
      <c r="E17" s="5">
        <v>10</v>
      </c>
      <c r="F17" s="5">
        <v>6</v>
      </c>
      <c r="G17" s="5">
        <v>3</v>
      </c>
      <c r="H17" s="5">
        <v>33</v>
      </c>
      <c r="I17" s="5">
        <v>25</v>
      </c>
      <c r="J17" s="5">
        <v>8</v>
      </c>
      <c r="K17" s="5">
        <v>36</v>
      </c>
      <c r="L17" s="5">
        <v>1.89</v>
      </c>
      <c r="M17" s="5">
        <v>31.8</v>
      </c>
      <c r="N17" s="5">
        <v>21.6</v>
      </c>
      <c r="O17" s="5">
        <v>10.199999999999999</v>
      </c>
      <c r="P17" s="5">
        <v>0.54</v>
      </c>
      <c r="Q17" s="5">
        <v>19</v>
      </c>
      <c r="R17" s="5">
        <v>9</v>
      </c>
      <c r="S17" s="5">
        <v>3</v>
      </c>
      <c r="T17" s="5">
        <v>7</v>
      </c>
      <c r="U17" s="5">
        <v>32</v>
      </c>
      <c r="V17" s="5">
        <v>29</v>
      </c>
      <c r="W17" s="5">
        <v>3</v>
      </c>
      <c r="X17" s="5">
        <v>30</v>
      </c>
      <c r="Y17" s="5">
        <v>1.58</v>
      </c>
      <c r="Z17" s="5">
        <v>29.7</v>
      </c>
      <c r="AA17" s="5">
        <v>29</v>
      </c>
      <c r="AB17" s="5">
        <v>0.6</v>
      </c>
      <c r="AC17" s="5">
        <v>0.03</v>
      </c>
    </row>
    <row r="18" spans="1:29" x14ac:dyDescent="0.15">
      <c r="A18" s="5">
        <v>13</v>
      </c>
      <c r="B18" s="3" t="s">
        <v>12</v>
      </c>
      <c r="C18" s="8">
        <v>51121</v>
      </c>
      <c r="D18" s="5">
        <v>19</v>
      </c>
      <c r="E18" s="5">
        <v>8</v>
      </c>
      <c r="F18" s="5">
        <v>1</v>
      </c>
      <c r="G18" s="5">
        <v>10</v>
      </c>
      <c r="H18" s="5">
        <v>24</v>
      </c>
      <c r="I18" s="5">
        <v>25</v>
      </c>
      <c r="J18" s="5">
        <v>-1</v>
      </c>
      <c r="K18" s="5">
        <v>25</v>
      </c>
      <c r="L18" s="5">
        <v>1.32</v>
      </c>
      <c r="M18" s="5">
        <v>22.6</v>
      </c>
      <c r="N18" s="5">
        <v>25.2</v>
      </c>
      <c r="O18" s="5">
        <v>-2.6</v>
      </c>
      <c r="P18" s="5">
        <v>-0.14000000000000001</v>
      </c>
      <c r="Q18" s="5">
        <v>19</v>
      </c>
      <c r="R18" s="5">
        <v>4</v>
      </c>
      <c r="S18" s="5">
        <v>8</v>
      </c>
      <c r="T18" s="5">
        <v>7</v>
      </c>
      <c r="U18" s="5">
        <v>18</v>
      </c>
      <c r="V18" s="5">
        <v>23</v>
      </c>
      <c r="W18" s="5">
        <v>-5</v>
      </c>
      <c r="X18" s="5">
        <v>20</v>
      </c>
      <c r="Y18" s="5">
        <v>1.05</v>
      </c>
      <c r="Z18" s="5">
        <v>16.5</v>
      </c>
      <c r="AA18" s="5">
        <v>28.3</v>
      </c>
      <c r="AB18" s="5">
        <v>-11.9</v>
      </c>
      <c r="AC18" s="5">
        <v>-0.62</v>
      </c>
    </row>
    <row r="19" spans="1:29" x14ac:dyDescent="0.15">
      <c r="A19" s="5">
        <v>16</v>
      </c>
      <c r="B19" s="3" t="s">
        <v>15</v>
      </c>
      <c r="C19" s="8">
        <v>30139</v>
      </c>
      <c r="D19" s="5">
        <v>19</v>
      </c>
      <c r="E19" s="5">
        <v>5</v>
      </c>
      <c r="F19" s="5">
        <v>8</v>
      </c>
      <c r="G19" s="5">
        <v>6</v>
      </c>
      <c r="H19" s="5">
        <v>27</v>
      </c>
      <c r="I19" s="5">
        <v>30</v>
      </c>
      <c r="J19" s="5">
        <v>-3</v>
      </c>
      <c r="K19" s="5">
        <v>23</v>
      </c>
      <c r="L19" s="5">
        <v>1.21</v>
      </c>
      <c r="M19" s="5">
        <v>24.6</v>
      </c>
      <c r="N19" s="5">
        <v>25</v>
      </c>
      <c r="O19" s="5">
        <v>-0.4</v>
      </c>
      <c r="P19" s="5">
        <v>-0.02</v>
      </c>
      <c r="Q19" s="5">
        <v>19</v>
      </c>
      <c r="R19" s="5">
        <v>4</v>
      </c>
      <c r="S19" s="5">
        <v>4</v>
      </c>
      <c r="T19" s="5">
        <v>11</v>
      </c>
      <c r="U19" s="5">
        <v>18</v>
      </c>
      <c r="V19" s="5">
        <v>35</v>
      </c>
      <c r="W19" s="5">
        <v>-17</v>
      </c>
      <c r="X19" s="5">
        <v>16</v>
      </c>
      <c r="Y19" s="5">
        <v>0.84</v>
      </c>
      <c r="Z19" s="5">
        <v>22.3</v>
      </c>
      <c r="AA19" s="5">
        <v>30.1</v>
      </c>
      <c r="AB19" s="5">
        <v>-7.8</v>
      </c>
      <c r="AC19" s="5">
        <v>-0.41</v>
      </c>
    </row>
    <row r="20" spans="1:29" x14ac:dyDescent="0.15">
      <c r="A20" s="5">
        <v>4</v>
      </c>
      <c r="B20" s="3" t="s">
        <v>3</v>
      </c>
      <c r="C20" s="8">
        <v>54216</v>
      </c>
      <c r="D20" s="5">
        <v>19</v>
      </c>
      <c r="E20" s="5">
        <v>12</v>
      </c>
      <c r="F20" s="5">
        <v>2</v>
      </c>
      <c r="G20" s="5">
        <v>5</v>
      </c>
      <c r="H20" s="5">
        <v>34</v>
      </c>
      <c r="I20" s="5">
        <v>16</v>
      </c>
      <c r="J20" s="5">
        <v>18</v>
      </c>
      <c r="K20" s="5">
        <v>38</v>
      </c>
      <c r="L20" s="5">
        <v>2</v>
      </c>
      <c r="M20" s="5">
        <v>31.3</v>
      </c>
      <c r="N20" s="5">
        <v>24.3</v>
      </c>
      <c r="O20" s="5">
        <v>6.9</v>
      </c>
      <c r="P20" s="5">
        <v>0.36</v>
      </c>
      <c r="Q20" s="5">
        <v>19</v>
      </c>
      <c r="R20" s="5">
        <v>11</v>
      </c>
      <c r="S20" s="5">
        <v>0</v>
      </c>
      <c r="T20" s="5">
        <v>8</v>
      </c>
      <c r="U20" s="5">
        <v>33</v>
      </c>
      <c r="V20" s="5">
        <v>23</v>
      </c>
      <c r="W20" s="5">
        <v>10</v>
      </c>
      <c r="X20" s="5">
        <v>33</v>
      </c>
      <c r="Y20" s="5">
        <v>1.74</v>
      </c>
      <c r="Z20" s="5">
        <v>23.6</v>
      </c>
      <c r="AA20" s="5">
        <v>22.8</v>
      </c>
      <c r="AB20" s="5">
        <v>0.8</v>
      </c>
      <c r="AC20" s="5">
        <v>0.04</v>
      </c>
    </row>
    <row r="21" spans="1:29" x14ac:dyDescent="0.15">
      <c r="A21" s="5">
        <v>11</v>
      </c>
      <c r="B21" s="3" t="s">
        <v>10</v>
      </c>
      <c r="C21" s="8">
        <v>20016</v>
      </c>
      <c r="D21" s="5">
        <v>19</v>
      </c>
      <c r="E21" s="5">
        <v>8</v>
      </c>
      <c r="F21" s="5">
        <v>3</v>
      </c>
      <c r="G21" s="5">
        <v>8</v>
      </c>
      <c r="H21" s="5">
        <v>26</v>
      </c>
      <c r="I21" s="5">
        <v>28</v>
      </c>
      <c r="J21" s="5">
        <v>-2</v>
      </c>
      <c r="K21" s="5">
        <v>27</v>
      </c>
      <c r="L21" s="5">
        <v>1.42</v>
      </c>
      <c r="M21" s="5">
        <v>23.1</v>
      </c>
      <c r="N21" s="5">
        <v>29.2</v>
      </c>
      <c r="O21" s="5">
        <v>-6.2</v>
      </c>
      <c r="P21" s="5">
        <v>-0.32</v>
      </c>
      <c r="Q21" s="5">
        <v>19</v>
      </c>
      <c r="R21" s="5">
        <v>6</v>
      </c>
      <c r="S21" s="5">
        <v>5</v>
      </c>
      <c r="T21" s="5">
        <v>8</v>
      </c>
      <c r="U21" s="5">
        <v>26</v>
      </c>
      <c r="V21" s="5">
        <v>31</v>
      </c>
      <c r="W21" s="5">
        <v>-5</v>
      </c>
      <c r="X21" s="5">
        <v>23</v>
      </c>
      <c r="Y21" s="5">
        <v>1.21</v>
      </c>
      <c r="Z21" s="5">
        <v>25.2</v>
      </c>
      <c r="AA21" s="5">
        <v>30</v>
      </c>
      <c r="AB21" s="5">
        <v>-4.8</v>
      </c>
      <c r="AC21" s="5">
        <v>-0.25</v>
      </c>
    </row>
    <row r="22" spans="1:29" x14ac:dyDescent="0.15">
      <c r="A22" s="5">
        <v>10</v>
      </c>
      <c r="B22" s="3" t="s">
        <v>9</v>
      </c>
      <c r="C22" s="8">
        <v>58336</v>
      </c>
      <c r="D22" s="5">
        <v>19</v>
      </c>
      <c r="E22" s="5">
        <v>9</v>
      </c>
      <c r="F22" s="5">
        <v>4</v>
      </c>
      <c r="G22" s="5">
        <v>6</v>
      </c>
      <c r="H22" s="5">
        <v>32</v>
      </c>
      <c r="I22" s="5">
        <v>27</v>
      </c>
      <c r="J22" s="5">
        <v>5</v>
      </c>
      <c r="K22" s="5">
        <v>31</v>
      </c>
      <c r="L22" s="5">
        <v>1.63</v>
      </c>
      <c r="M22" s="5">
        <v>25.2</v>
      </c>
      <c r="N22" s="5">
        <v>23.3</v>
      </c>
      <c r="O22" s="5">
        <v>1.9</v>
      </c>
      <c r="P22" s="5">
        <v>0.1</v>
      </c>
      <c r="Q22" s="5">
        <v>19</v>
      </c>
      <c r="R22" s="5">
        <v>6</v>
      </c>
      <c r="S22" s="5">
        <v>3</v>
      </c>
      <c r="T22" s="5">
        <v>10</v>
      </c>
      <c r="U22" s="5">
        <v>20</v>
      </c>
      <c r="V22" s="5">
        <v>28</v>
      </c>
      <c r="W22" s="5">
        <v>-8</v>
      </c>
      <c r="X22" s="5">
        <v>21</v>
      </c>
      <c r="Y22" s="5">
        <v>1.1100000000000001</v>
      </c>
      <c r="Z22" s="5">
        <v>22.5</v>
      </c>
      <c r="AA22" s="5">
        <v>38.6</v>
      </c>
      <c r="AB22" s="5">
        <v>-16.2</v>
      </c>
      <c r="AC22" s="5">
        <v>-0.85</v>
      </c>
    </row>
    <row r="23" spans="1:29" x14ac:dyDescent="0.15">
      <c r="A23" s="5">
        <v>7</v>
      </c>
      <c r="B23" s="3" t="s">
        <v>6</v>
      </c>
      <c r="C23" s="8">
        <v>31030</v>
      </c>
      <c r="D23" s="5">
        <v>19</v>
      </c>
      <c r="E23" s="5">
        <v>10</v>
      </c>
      <c r="F23" s="5">
        <v>4</v>
      </c>
      <c r="G23" s="5">
        <v>5</v>
      </c>
      <c r="H23" s="5">
        <v>28</v>
      </c>
      <c r="I23" s="5">
        <v>21</v>
      </c>
      <c r="J23" s="5">
        <v>7</v>
      </c>
      <c r="K23" s="5">
        <v>34</v>
      </c>
      <c r="L23" s="5">
        <v>1.79</v>
      </c>
      <c r="M23" s="5">
        <v>31.3</v>
      </c>
      <c r="N23" s="5">
        <v>18.899999999999999</v>
      </c>
      <c r="O23" s="5">
        <v>12.4</v>
      </c>
      <c r="P23" s="5">
        <v>0.65</v>
      </c>
      <c r="Q23" s="5">
        <v>19</v>
      </c>
      <c r="R23" s="5">
        <v>6</v>
      </c>
      <c r="S23" s="5">
        <v>5</v>
      </c>
      <c r="T23" s="5">
        <v>8</v>
      </c>
      <c r="U23" s="5">
        <v>19</v>
      </c>
      <c r="V23" s="5">
        <v>25</v>
      </c>
      <c r="W23" s="5">
        <v>-6</v>
      </c>
      <c r="X23" s="5">
        <v>23</v>
      </c>
      <c r="Y23" s="5">
        <v>1.21</v>
      </c>
      <c r="Z23" s="5">
        <v>20.9</v>
      </c>
      <c r="AA23" s="5">
        <v>23.2</v>
      </c>
      <c r="AB23" s="5">
        <v>-2.2999999999999998</v>
      </c>
      <c r="AC23" s="5">
        <v>-0.12</v>
      </c>
    </row>
    <row r="25" spans="1:29" x14ac:dyDescent="0.15">
      <c r="A25" s="76" t="s">
        <v>20</v>
      </c>
      <c r="B25" s="4" t="s">
        <v>21</v>
      </c>
      <c r="C25" s="76" t="s">
        <v>37</v>
      </c>
      <c r="D25" s="76" t="s">
        <v>35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 t="s">
        <v>36</v>
      </c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</row>
    <row r="26" spans="1:29" x14ac:dyDescent="0.15">
      <c r="A26" s="76"/>
      <c r="B26" s="4" t="s">
        <v>39</v>
      </c>
      <c r="C26" s="76"/>
      <c r="D26" s="4" t="s">
        <v>22</v>
      </c>
      <c r="E26" s="4" t="s">
        <v>23</v>
      </c>
      <c r="F26" s="4" t="s">
        <v>24</v>
      </c>
      <c r="G26" s="4" t="s">
        <v>25</v>
      </c>
      <c r="H26" s="4" t="s">
        <v>26</v>
      </c>
      <c r="I26" s="4" t="s">
        <v>27</v>
      </c>
      <c r="J26" s="4" t="s">
        <v>28</v>
      </c>
      <c r="K26" s="4" t="s">
        <v>29</v>
      </c>
      <c r="L26" s="4" t="s">
        <v>30</v>
      </c>
      <c r="M26" s="4" t="s">
        <v>31</v>
      </c>
      <c r="N26" s="4" t="s">
        <v>32</v>
      </c>
      <c r="O26" s="4" t="s">
        <v>33</v>
      </c>
      <c r="P26" s="4" t="s">
        <v>34</v>
      </c>
      <c r="Q26" s="4" t="s">
        <v>22</v>
      </c>
      <c r="R26" s="4" t="s">
        <v>23</v>
      </c>
      <c r="S26" s="4" t="s">
        <v>24</v>
      </c>
      <c r="T26" s="4" t="s">
        <v>25</v>
      </c>
      <c r="U26" s="4" t="s">
        <v>26</v>
      </c>
      <c r="V26" s="4" t="s">
        <v>27</v>
      </c>
      <c r="W26" s="4" t="s">
        <v>28</v>
      </c>
      <c r="X26" s="4" t="s">
        <v>29</v>
      </c>
      <c r="Y26" s="4" t="s">
        <v>30</v>
      </c>
      <c r="Z26" s="4" t="s">
        <v>31</v>
      </c>
      <c r="AA26" s="4" t="s">
        <v>32</v>
      </c>
      <c r="AB26" s="4" t="s">
        <v>33</v>
      </c>
      <c r="AC26" s="4" t="s">
        <v>34</v>
      </c>
    </row>
    <row r="27" spans="1:29" x14ac:dyDescent="0.15">
      <c r="A27" s="5">
        <v>8</v>
      </c>
      <c r="B27" s="3" t="s">
        <v>4</v>
      </c>
      <c r="C27" s="5">
        <v>632</v>
      </c>
      <c r="D27" s="5">
        <v>19</v>
      </c>
      <c r="E27" s="5">
        <v>8</v>
      </c>
      <c r="F27" s="5">
        <v>4</v>
      </c>
      <c r="G27" s="5">
        <v>7</v>
      </c>
      <c r="H27" s="5">
        <v>24</v>
      </c>
      <c r="I27" s="5">
        <v>21</v>
      </c>
      <c r="J27" s="5">
        <v>3</v>
      </c>
      <c r="K27" s="5">
        <v>28</v>
      </c>
      <c r="L27" s="5">
        <v>1.47</v>
      </c>
      <c r="M27" s="5">
        <v>23</v>
      </c>
      <c r="N27" s="5">
        <v>23.2</v>
      </c>
      <c r="O27" s="5">
        <v>-0.2</v>
      </c>
      <c r="P27" s="5">
        <v>-0.01</v>
      </c>
      <c r="Q27" s="5">
        <v>19</v>
      </c>
      <c r="R27" s="5">
        <v>10</v>
      </c>
      <c r="S27" s="5">
        <v>3</v>
      </c>
      <c r="T27" s="5">
        <v>6</v>
      </c>
      <c r="U27" s="5">
        <v>31</v>
      </c>
      <c r="V27" s="5">
        <v>18</v>
      </c>
      <c r="W27" s="5">
        <v>13</v>
      </c>
      <c r="X27" s="5">
        <v>33</v>
      </c>
      <c r="Y27" s="5">
        <v>1.74</v>
      </c>
      <c r="Z27" s="5">
        <v>28.8</v>
      </c>
      <c r="AA27" s="5">
        <v>19.8</v>
      </c>
      <c r="AB27" s="5">
        <v>9</v>
      </c>
      <c r="AC27" s="5">
        <v>0.47</v>
      </c>
    </row>
    <row r="28" spans="1:29" x14ac:dyDescent="0.15">
      <c r="A28" s="5">
        <v>11</v>
      </c>
      <c r="B28" s="3" t="s">
        <v>40</v>
      </c>
      <c r="C28" s="5">
        <v>526</v>
      </c>
      <c r="D28" s="5">
        <v>19</v>
      </c>
      <c r="E28" s="5">
        <v>7</v>
      </c>
      <c r="F28" s="5">
        <v>4</v>
      </c>
      <c r="G28" s="5">
        <v>8</v>
      </c>
      <c r="H28" s="5">
        <v>29</v>
      </c>
      <c r="I28" s="5">
        <v>27</v>
      </c>
      <c r="J28" s="5">
        <v>2</v>
      </c>
      <c r="K28" s="5">
        <v>25</v>
      </c>
      <c r="L28" s="5">
        <v>1.32</v>
      </c>
      <c r="M28" s="5">
        <v>27.9</v>
      </c>
      <c r="N28" s="5">
        <v>25.9</v>
      </c>
      <c r="O28" s="5">
        <v>2</v>
      </c>
      <c r="P28" s="5">
        <v>0.11</v>
      </c>
      <c r="Q28" s="5">
        <v>19</v>
      </c>
      <c r="R28" s="5">
        <v>9</v>
      </c>
      <c r="S28" s="5">
        <v>3</v>
      </c>
      <c r="T28" s="5">
        <v>7</v>
      </c>
      <c r="U28" s="5">
        <v>26</v>
      </c>
      <c r="V28" s="5">
        <v>19</v>
      </c>
      <c r="W28" s="5">
        <v>7</v>
      </c>
      <c r="X28" s="5">
        <v>30</v>
      </c>
      <c r="Y28" s="5">
        <v>1.58</v>
      </c>
      <c r="Z28" s="5">
        <v>24.6</v>
      </c>
      <c r="AA28" s="5">
        <v>25.2</v>
      </c>
      <c r="AB28" s="5">
        <v>-0.6</v>
      </c>
      <c r="AC28" s="5">
        <v>-0.03</v>
      </c>
    </row>
    <row r="29" spans="1:29" x14ac:dyDescent="0.15">
      <c r="A29" s="5">
        <v>16</v>
      </c>
      <c r="B29" s="3" t="s">
        <v>16</v>
      </c>
      <c r="C29" s="5">
        <v>523</v>
      </c>
      <c r="D29" s="5">
        <v>19</v>
      </c>
      <c r="E29" s="5">
        <v>4</v>
      </c>
      <c r="F29" s="5">
        <v>9</v>
      </c>
      <c r="G29" s="5">
        <v>6</v>
      </c>
      <c r="H29" s="5">
        <v>22</v>
      </c>
      <c r="I29" s="5">
        <v>22</v>
      </c>
      <c r="J29" s="5">
        <v>0</v>
      </c>
      <c r="K29" s="5">
        <v>21</v>
      </c>
      <c r="L29" s="5">
        <v>1.1100000000000001</v>
      </c>
      <c r="M29" s="5">
        <v>30.6</v>
      </c>
      <c r="N29" s="5">
        <v>14.2</v>
      </c>
      <c r="O29" s="5">
        <v>16.399999999999999</v>
      </c>
      <c r="P29" s="5">
        <v>0.86</v>
      </c>
      <c r="Q29" s="5">
        <v>19</v>
      </c>
      <c r="R29" s="5">
        <v>5</v>
      </c>
      <c r="S29" s="5">
        <v>5</v>
      </c>
      <c r="T29" s="5">
        <v>9</v>
      </c>
      <c r="U29" s="5">
        <v>18</v>
      </c>
      <c r="V29" s="5">
        <v>24</v>
      </c>
      <c r="W29" s="5">
        <v>-6</v>
      </c>
      <c r="X29" s="5">
        <v>20</v>
      </c>
      <c r="Y29" s="5">
        <v>1.05</v>
      </c>
      <c r="Z29" s="5">
        <v>20.2</v>
      </c>
      <c r="AA29" s="5">
        <v>21.1</v>
      </c>
      <c r="AB29" s="5">
        <v>-0.8</v>
      </c>
      <c r="AC29" s="5">
        <v>-0.04</v>
      </c>
    </row>
    <row r="30" spans="1:29" x14ac:dyDescent="0.15">
      <c r="A30" s="5">
        <v>17</v>
      </c>
      <c r="B30" s="3" t="s">
        <v>14</v>
      </c>
      <c r="C30" s="5">
        <v>178</v>
      </c>
      <c r="D30" s="5">
        <v>19</v>
      </c>
      <c r="E30" s="5">
        <v>4</v>
      </c>
      <c r="F30" s="5">
        <v>6</v>
      </c>
      <c r="G30" s="5">
        <v>9</v>
      </c>
      <c r="H30" s="5">
        <v>14</v>
      </c>
      <c r="I30" s="5">
        <v>27</v>
      </c>
      <c r="J30" s="5">
        <v>-13</v>
      </c>
      <c r="K30" s="5">
        <v>18</v>
      </c>
      <c r="L30" s="5">
        <v>0.95</v>
      </c>
      <c r="M30" s="5">
        <v>20.5</v>
      </c>
      <c r="N30" s="5">
        <v>27.3</v>
      </c>
      <c r="O30" s="5">
        <v>-6.8</v>
      </c>
      <c r="P30" s="5">
        <v>-0.36</v>
      </c>
      <c r="Q30" s="5">
        <v>19</v>
      </c>
      <c r="R30" s="5">
        <v>6</v>
      </c>
      <c r="S30" s="5">
        <v>3</v>
      </c>
      <c r="T30" s="5">
        <v>10</v>
      </c>
      <c r="U30" s="5">
        <v>19</v>
      </c>
      <c r="V30" s="5">
        <v>28</v>
      </c>
      <c r="W30" s="5">
        <v>-9</v>
      </c>
      <c r="X30" s="5">
        <v>21</v>
      </c>
      <c r="Y30" s="5">
        <v>1.1100000000000001</v>
      </c>
      <c r="Z30" s="5">
        <v>18.8</v>
      </c>
      <c r="AA30" s="5">
        <v>27.3</v>
      </c>
      <c r="AB30" s="5">
        <v>-8.6</v>
      </c>
      <c r="AC30" s="5">
        <v>-0.45</v>
      </c>
    </row>
    <row r="31" spans="1:29" x14ac:dyDescent="0.15">
      <c r="A31" s="5">
        <v>4</v>
      </c>
      <c r="B31" s="3" t="s">
        <v>2</v>
      </c>
      <c r="C31" s="5">
        <v>526</v>
      </c>
      <c r="D31" s="5">
        <v>19</v>
      </c>
      <c r="E31" s="5">
        <v>9</v>
      </c>
      <c r="F31" s="5">
        <v>6</v>
      </c>
      <c r="G31" s="5">
        <v>4</v>
      </c>
      <c r="H31" s="5">
        <v>31</v>
      </c>
      <c r="I31" s="5">
        <v>18</v>
      </c>
      <c r="J31" s="5">
        <v>13</v>
      </c>
      <c r="K31" s="5">
        <v>33</v>
      </c>
      <c r="L31" s="5">
        <v>1.74</v>
      </c>
      <c r="M31" s="5">
        <v>34.1</v>
      </c>
      <c r="N31" s="5">
        <v>15.2</v>
      </c>
      <c r="O31" s="5">
        <v>18.899999999999999</v>
      </c>
      <c r="P31" s="5">
        <v>0.99</v>
      </c>
      <c r="Q31" s="5">
        <v>19</v>
      </c>
      <c r="R31" s="5">
        <v>10</v>
      </c>
      <c r="S31" s="5">
        <v>4</v>
      </c>
      <c r="T31" s="5">
        <v>5</v>
      </c>
      <c r="U31" s="5">
        <v>27</v>
      </c>
      <c r="V31" s="5">
        <v>18</v>
      </c>
      <c r="W31" s="5">
        <v>9</v>
      </c>
      <c r="X31" s="5">
        <v>34</v>
      </c>
      <c r="Y31" s="5">
        <v>1.79</v>
      </c>
      <c r="Z31" s="5">
        <v>28.3</v>
      </c>
      <c r="AA31" s="5">
        <v>15.1</v>
      </c>
      <c r="AB31" s="5">
        <v>13.2</v>
      </c>
      <c r="AC31" s="5">
        <v>0.7</v>
      </c>
    </row>
    <row r="32" spans="1:29" x14ac:dyDescent="0.15">
      <c r="A32" s="5">
        <v>14</v>
      </c>
      <c r="B32" s="3" t="s">
        <v>11</v>
      </c>
      <c r="C32" s="5">
        <v>447</v>
      </c>
      <c r="D32" s="5">
        <v>19</v>
      </c>
      <c r="E32" s="5">
        <v>6</v>
      </c>
      <c r="F32" s="5">
        <v>5</v>
      </c>
      <c r="G32" s="5">
        <v>8</v>
      </c>
      <c r="H32" s="5">
        <v>20</v>
      </c>
      <c r="I32" s="5">
        <v>32</v>
      </c>
      <c r="J32" s="5">
        <v>-12</v>
      </c>
      <c r="K32" s="5">
        <v>23</v>
      </c>
      <c r="L32" s="5">
        <v>1.21</v>
      </c>
      <c r="M32" s="5">
        <v>15.8</v>
      </c>
      <c r="N32" s="5">
        <v>28.1</v>
      </c>
      <c r="O32" s="5">
        <v>-12.3</v>
      </c>
      <c r="P32" s="5">
        <v>-0.65</v>
      </c>
      <c r="Q32" s="5">
        <v>19</v>
      </c>
      <c r="R32" s="5">
        <v>6</v>
      </c>
      <c r="S32" s="5">
        <v>3</v>
      </c>
      <c r="T32" s="5">
        <v>10</v>
      </c>
      <c r="U32" s="5">
        <v>21</v>
      </c>
      <c r="V32" s="5">
        <v>34</v>
      </c>
      <c r="W32" s="5">
        <v>-13</v>
      </c>
      <c r="X32" s="5">
        <v>21</v>
      </c>
      <c r="Y32" s="5">
        <v>1.1100000000000001</v>
      </c>
      <c r="Z32" s="5">
        <v>18.3</v>
      </c>
      <c r="AA32" s="5">
        <v>30.1</v>
      </c>
      <c r="AB32" s="5">
        <v>-11.8</v>
      </c>
      <c r="AC32" s="5">
        <v>-0.62</v>
      </c>
    </row>
    <row r="33" spans="1:29" x14ac:dyDescent="0.15">
      <c r="A33" s="5">
        <v>10</v>
      </c>
      <c r="B33" s="3" t="s">
        <v>7</v>
      </c>
      <c r="C33" s="5">
        <v>368</v>
      </c>
      <c r="D33" s="5">
        <v>19</v>
      </c>
      <c r="E33" s="5">
        <v>6</v>
      </c>
      <c r="F33" s="5">
        <v>4</v>
      </c>
      <c r="G33" s="5">
        <v>9</v>
      </c>
      <c r="H33" s="5">
        <v>24</v>
      </c>
      <c r="I33" s="5">
        <v>28</v>
      </c>
      <c r="J33" s="5">
        <v>-4</v>
      </c>
      <c r="K33" s="5">
        <v>22</v>
      </c>
      <c r="L33" s="5">
        <v>1.1599999999999999</v>
      </c>
      <c r="M33" s="5">
        <v>23.3</v>
      </c>
      <c r="N33" s="5">
        <v>25.1</v>
      </c>
      <c r="O33" s="5">
        <v>-1.8</v>
      </c>
      <c r="P33" s="5">
        <v>-0.1</v>
      </c>
      <c r="Q33" s="5">
        <v>19</v>
      </c>
      <c r="R33" s="5">
        <v>11</v>
      </c>
      <c r="S33" s="5">
        <v>4</v>
      </c>
      <c r="T33" s="5">
        <v>4</v>
      </c>
      <c r="U33" s="5">
        <v>23</v>
      </c>
      <c r="V33" s="5">
        <v>20</v>
      </c>
      <c r="W33" s="5">
        <v>3</v>
      </c>
      <c r="X33" s="5">
        <v>37</v>
      </c>
      <c r="Y33" s="5">
        <v>1.95</v>
      </c>
      <c r="Z33" s="5">
        <v>22.4</v>
      </c>
      <c r="AA33" s="5">
        <v>25</v>
      </c>
      <c r="AB33" s="5">
        <v>-2.6</v>
      </c>
      <c r="AC33" s="5">
        <v>-0.14000000000000001</v>
      </c>
    </row>
    <row r="34" spans="1:29" x14ac:dyDescent="0.15">
      <c r="A34" s="5">
        <v>18</v>
      </c>
      <c r="B34" s="3" t="s">
        <v>18</v>
      </c>
      <c r="C34" s="5">
        <v>211</v>
      </c>
      <c r="D34" s="5">
        <v>19</v>
      </c>
      <c r="E34" s="5">
        <v>2</v>
      </c>
      <c r="F34" s="5">
        <v>4</v>
      </c>
      <c r="G34" s="5">
        <v>13</v>
      </c>
      <c r="H34" s="5">
        <v>9</v>
      </c>
      <c r="I34" s="5">
        <v>28</v>
      </c>
      <c r="J34" s="5">
        <v>-19</v>
      </c>
      <c r="K34" s="5">
        <v>10</v>
      </c>
      <c r="L34" s="5">
        <v>0.53</v>
      </c>
      <c r="M34" s="5">
        <v>18.7</v>
      </c>
      <c r="N34" s="5">
        <v>25.9</v>
      </c>
      <c r="O34" s="5">
        <v>-7.2</v>
      </c>
      <c r="P34" s="5">
        <v>-0.38</v>
      </c>
      <c r="Q34" s="5">
        <v>19</v>
      </c>
      <c r="R34" s="5">
        <v>3</v>
      </c>
      <c r="S34" s="5">
        <v>9</v>
      </c>
      <c r="T34" s="5">
        <v>7</v>
      </c>
      <c r="U34" s="5">
        <v>18</v>
      </c>
      <c r="V34" s="5">
        <v>25</v>
      </c>
      <c r="W34" s="5">
        <v>-7</v>
      </c>
      <c r="X34" s="5">
        <v>18</v>
      </c>
      <c r="Y34" s="5">
        <v>0.95</v>
      </c>
      <c r="Z34" s="5">
        <v>21.8</v>
      </c>
      <c r="AA34" s="5">
        <v>26.7</v>
      </c>
      <c r="AB34" s="5">
        <v>-4.9000000000000004</v>
      </c>
      <c r="AC34" s="5">
        <v>-0.26</v>
      </c>
    </row>
    <row r="35" spans="1:29" x14ac:dyDescent="0.15">
      <c r="A35" s="5">
        <v>9</v>
      </c>
      <c r="B35" s="3" t="s">
        <v>43</v>
      </c>
      <c r="C35" s="5">
        <v>421</v>
      </c>
      <c r="D35" s="5">
        <v>19</v>
      </c>
      <c r="E35" s="5">
        <v>8</v>
      </c>
      <c r="F35" s="5">
        <v>5</v>
      </c>
      <c r="G35" s="5">
        <v>6</v>
      </c>
      <c r="H35" s="5">
        <v>28</v>
      </c>
      <c r="I35" s="5">
        <v>21</v>
      </c>
      <c r="J35" s="5">
        <v>7</v>
      </c>
      <c r="K35" s="5">
        <v>29</v>
      </c>
      <c r="L35" s="5">
        <v>1.53</v>
      </c>
      <c r="M35" s="5">
        <v>30.6</v>
      </c>
      <c r="N35" s="5">
        <v>22.9</v>
      </c>
      <c r="O35" s="5">
        <v>7.7</v>
      </c>
      <c r="P35" s="5">
        <v>0.41</v>
      </c>
      <c r="Q35" s="5">
        <v>19</v>
      </c>
      <c r="R35" s="5">
        <v>10</v>
      </c>
      <c r="S35" s="5">
        <v>0</v>
      </c>
      <c r="T35" s="5">
        <v>9</v>
      </c>
      <c r="U35" s="5">
        <v>34</v>
      </c>
      <c r="V35" s="5">
        <v>33</v>
      </c>
      <c r="W35" s="5">
        <v>1</v>
      </c>
      <c r="X35" s="5">
        <v>30</v>
      </c>
      <c r="Y35" s="5">
        <v>1.58</v>
      </c>
      <c r="Z35" s="5">
        <v>25</v>
      </c>
      <c r="AA35" s="5">
        <v>35</v>
      </c>
      <c r="AB35" s="5">
        <v>-10</v>
      </c>
      <c r="AC35" s="5">
        <v>-0.52</v>
      </c>
    </row>
    <row r="36" spans="1:29" x14ac:dyDescent="0.15">
      <c r="A36" s="5">
        <v>5</v>
      </c>
      <c r="B36" s="3" t="s">
        <v>8</v>
      </c>
      <c r="C36" s="5">
        <v>421</v>
      </c>
      <c r="D36" s="5">
        <v>19</v>
      </c>
      <c r="E36" s="5">
        <v>9</v>
      </c>
      <c r="F36" s="5">
        <v>1</v>
      </c>
      <c r="G36" s="5">
        <v>9</v>
      </c>
      <c r="H36" s="5">
        <v>34</v>
      </c>
      <c r="I36" s="5">
        <v>30</v>
      </c>
      <c r="J36" s="5">
        <v>4</v>
      </c>
      <c r="K36" s="5">
        <v>28</v>
      </c>
      <c r="L36" s="5">
        <v>1.47</v>
      </c>
      <c r="M36" s="5">
        <v>28.2</v>
      </c>
      <c r="N36" s="5">
        <v>25.6</v>
      </c>
      <c r="O36" s="5">
        <v>2.7</v>
      </c>
      <c r="P36" s="5">
        <v>0.14000000000000001</v>
      </c>
      <c r="Q36" s="5">
        <v>19</v>
      </c>
      <c r="R36" s="5">
        <v>11</v>
      </c>
      <c r="S36" s="5">
        <v>5</v>
      </c>
      <c r="T36" s="5">
        <v>3</v>
      </c>
      <c r="U36" s="5">
        <v>34</v>
      </c>
      <c r="V36" s="5">
        <v>20</v>
      </c>
      <c r="W36" s="5">
        <v>14</v>
      </c>
      <c r="X36" s="5">
        <v>38</v>
      </c>
      <c r="Y36" s="5">
        <v>2</v>
      </c>
      <c r="Z36" s="5">
        <v>27.6</v>
      </c>
      <c r="AA36" s="5">
        <v>20.399999999999999</v>
      </c>
      <c r="AB36" s="5">
        <v>7.2</v>
      </c>
      <c r="AC36" s="5">
        <v>0.38</v>
      </c>
    </row>
    <row r="37" spans="1:29" x14ac:dyDescent="0.15">
      <c r="A37" s="5">
        <v>3</v>
      </c>
      <c r="B37" s="3" t="s">
        <v>1</v>
      </c>
      <c r="C37" s="5">
        <v>837</v>
      </c>
      <c r="D37" s="5">
        <v>19</v>
      </c>
      <c r="E37" s="5">
        <v>10</v>
      </c>
      <c r="F37" s="5">
        <v>3</v>
      </c>
      <c r="G37" s="5">
        <v>6</v>
      </c>
      <c r="H37" s="5">
        <v>29</v>
      </c>
      <c r="I37" s="5">
        <v>20</v>
      </c>
      <c r="J37" s="5">
        <v>9</v>
      </c>
      <c r="K37" s="5">
        <v>33</v>
      </c>
      <c r="L37" s="5">
        <v>1.74</v>
      </c>
      <c r="M37" s="5">
        <v>31.5</v>
      </c>
      <c r="N37" s="5">
        <v>21.1</v>
      </c>
      <c r="O37" s="5">
        <v>10.4</v>
      </c>
      <c r="P37" s="5">
        <v>0.55000000000000004</v>
      </c>
      <c r="Q37" s="5">
        <v>19</v>
      </c>
      <c r="R37" s="5">
        <v>10</v>
      </c>
      <c r="S37" s="5">
        <v>6</v>
      </c>
      <c r="T37" s="5">
        <v>3</v>
      </c>
      <c r="U37" s="5">
        <v>39</v>
      </c>
      <c r="V37" s="5">
        <v>22</v>
      </c>
      <c r="W37" s="5">
        <v>17</v>
      </c>
      <c r="X37" s="5">
        <v>36</v>
      </c>
      <c r="Y37" s="5">
        <v>1.89</v>
      </c>
      <c r="Z37" s="5">
        <v>36</v>
      </c>
      <c r="AA37" s="5">
        <v>21.8</v>
      </c>
      <c r="AB37" s="5">
        <v>14.1</v>
      </c>
      <c r="AC37" s="5">
        <v>0.74</v>
      </c>
    </row>
    <row r="38" spans="1:29" x14ac:dyDescent="0.15">
      <c r="A38" s="5">
        <v>1</v>
      </c>
      <c r="B38" s="3" t="s">
        <v>0</v>
      </c>
      <c r="C38" s="5">
        <v>526</v>
      </c>
      <c r="D38" s="5">
        <v>19</v>
      </c>
      <c r="E38" s="5">
        <v>13</v>
      </c>
      <c r="F38" s="5">
        <v>2</v>
      </c>
      <c r="G38" s="5">
        <v>4</v>
      </c>
      <c r="H38" s="5">
        <v>43</v>
      </c>
      <c r="I38" s="5">
        <v>17</v>
      </c>
      <c r="J38" s="5">
        <v>26</v>
      </c>
      <c r="K38" s="5">
        <v>41</v>
      </c>
      <c r="L38" s="5">
        <v>2.16</v>
      </c>
      <c r="M38" s="5">
        <v>37.200000000000003</v>
      </c>
      <c r="N38" s="5">
        <v>14.9</v>
      </c>
      <c r="O38" s="5">
        <v>22.3</v>
      </c>
      <c r="P38" s="5">
        <v>1.18</v>
      </c>
      <c r="Q38" s="5">
        <v>19</v>
      </c>
      <c r="R38" s="5">
        <v>14</v>
      </c>
      <c r="S38" s="5">
        <v>3</v>
      </c>
      <c r="T38" s="5">
        <v>2</v>
      </c>
      <c r="U38" s="5">
        <v>40</v>
      </c>
      <c r="V38" s="5">
        <v>15</v>
      </c>
      <c r="W38" s="5">
        <v>25</v>
      </c>
      <c r="X38" s="5">
        <v>45</v>
      </c>
      <c r="Y38" s="5">
        <v>2.37</v>
      </c>
      <c r="Z38" s="5">
        <v>31</v>
      </c>
      <c r="AA38" s="5">
        <v>15.3</v>
      </c>
      <c r="AB38" s="5">
        <v>15.7</v>
      </c>
      <c r="AC38" s="5">
        <v>0.83</v>
      </c>
    </row>
    <row r="39" spans="1:29" x14ac:dyDescent="0.15">
      <c r="A39" s="5">
        <v>2</v>
      </c>
      <c r="B39" s="3" t="s">
        <v>5</v>
      </c>
      <c r="C39" s="5">
        <v>526</v>
      </c>
      <c r="D39" s="5">
        <v>19</v>
      </c>
      <c r="E39" s="5">
        <v>9</v>
      </c>
      <c r="F39" s="5">
        <v>4</v>
      </c>
      <c r="G39" s="5">
        <v>6</v>
      </c>
      <c r="H39" s="5">
        <v>38</v>
      </c>
      <c r="I39" s="5">
        <v>28</v>
      </c>
      <c r="J39" s="5">
        <v>10</v>
      </c>
      <c r="K39" s="5">
        <v>31</v>
      </c>
      <c r="L39" s="5">
        <v>1.63</v>
      </c>
      <c r="M39" s="5">
        <v>31.2</v>
      </c>
      <c r="N39" s="5">
        <v>22.3</v>
      </c>
      <c r="O39" s="5">
        <v>8.9</v>
      </c>
      <c r="P39" s="5">
        <v>0.47</v>
      </c>
      <c r="Q39" s="5">
        <v>19</v>
      </c>
      <c r="R39" s="5">
        <v>12</v>
      </c>
      <c r="S39" s="5">
        <v>7</v>
      </c>
      <c r="T39" s="5">
        <v>0</v>
      </c>
      <c r="U39" s="5">
        <v>35</v>
      </c>
      <c r="V39" s="5">
        <v>16</v>
      </c>
      <c r="W39" s="5">
        <v>19</v>
      </c>
      <c r="X39" s="5">
        <v>43</v>
      </c>
      <c r="Y39" s="5">
        <v>2.2599999999999998</v>
      </c>
      <c r="Z39" s="5">
        <v>28.9</v>
      </c>
      <c r="AA39" s="5">
        <v>19.100000000000001</v>
      </c>
      <c r="AB39" s="5">
        <v>9.6999999999999993</v>
      </c>
      <c r="AC39" s="5">
        <v>0.51</v>
      </c>
    </row>
    <row r="40" spans="1:29" x14ac:dyDescent="0.15">
      <c r="A40" s="5">
        <v>12</v>
      </c>
      <c r="B40" s="3" t="s">
        <v>12</v>
      </c>
      <c r="C40" s="5">
        <v>526</v>
      </c>
      <c r="D40" s="5">
        <v>19</v>
      </c>
      <c r="E40" s="5">
        <v>6</v>
      </c>
      <c r="F40" s="5">
        <v>5</v>
      </c>
      <c r="G40" s="5">
        <v>8</v>
      </c>
      <c r="H40" s="5">
        <v>26</v>
      </c>
      <c r="I40" s="5">
        <v>33</v>
      </c>
      <c r="J40" s="5">
        <v>-7</v>
      </c>
      <c r="K40" s="5">
        <v>23</v>
      </c>
      <c r="L40" s="5">
        <v>1.21</v>
      </c>
      <c r="M40" s="5">
        <v>26.5</v>
      </c>
      <c r="N40" s="5">
        <v>24.7</v>
      </c>
      <c r="O40" s="5">
        <v>1.8</v>
      </c>
      <c r="P40" s="5">
        <v>0.1</v>
      </c>
      <c r="Q40" s="5">
        <v>19</v>
      </c>
      <c r="R40" s="5">
        <v>6</v>
      </c>
      <c r="S40" s="5">
        <v>4</v>
      </c>
      <c r="T40" s="5">
        <v>9</v>
      </c>
      <c r="U40" s="5">
        <v>20</v>
      </c>
      <c r="V40" s="5">
        <v>29</v>
      </c>
      <c r="W40" s="5">
        <v>-9</v>
      </c>
      <c r="X40" s="5">
        <v>22</v>
      </c>
      <c r="Y40" s="5">
        <v>1.1599999999999999</v>
      </c>
      <c r="Z40" s="5">
        <v>16.899999999999999</v>
      </c>
      <c r="AA40" s="5">
        <v>33.6</v>
      </c>
      <c r="AB40" s="5">
        <v>-16.7</v>
      </c>
      <c r="AC40" s="5">
        <v>-0.88</v>
      </c>
    </row>
    <row r="41" spans="1:29" x14ac:dyDescent="0.15">
      <c r="A41" s="5">
        <v>20</v>
      </c>
      <c r="B41" s="3" t="s">
        <v>41</v>
      </c>
      <c r="C41" s="5">
        <v>263</v>
      </c>
      <c r="D41" s="5">
        <v>19</v>
      </c>
      <c r="E41" s="5">
        <v>5</v>
      </c>
      <c r="F41" s="5">
        <v>1</v>
      </c>
      <c r="G41" s="5">
        <v>13</v>
      </c>
      <c r="H41" s="5">
        <v>12</v>
      </c>
      <c r="I41" s="5">
        <v>27</v>
      </c>
      <c r="J41" s="5">
        <v>-15</v>
      </c>
      <c r="K41" s="5">
        <v>16</v>
      </c>
      <c r="L41" s="5">
        <v>0.84</v>
      </c>
      <c r="M41" s="5">
        <v>17.899999999999999</v>
      </c>
      <c r="N41" s="5">
        <v>30.2</v>
      </c>
      <c r="O41" s="5">
        <v>-12.4</v>
      </c>
      <c r="P41" s="5">
        <v>-0.65</v>
      </c>
      <c r="Q41" s="5">
        <v>19</v>
      </c>
      <c r="R41" s="5">
        <v>2</v>
      </c>
      <c r="S41" s="5">
        <v>1</v>
      </c>
      <c r="T41" s="5">
        <v>16</v>
      </c>
      <c r="U41" s="5">
        <v>8</v>
      </c>
      <c r="V41" s="5">
        <v>36</v>
      </c>
      <c r="W41" s="5">
        <v>-28</v>
      </c>
      <c r="X41" s="5">
        <v>7</v>
      </c>
      <c r="Y41" s="5">
        <v>0.37</v>
      </c>
      <c r="Z41" s="5">
        <v>14.8</v>
      </c>
      <c r="AA41" s="5">
        <v>32</v>
      </c>
      <c r="AB41" s="5">
        <v>-17.2</v>
      </c>
      <c r="AC41" s="5">
        <v>-0.91</v>
      </c>
    </row>
    <row r="42" spans="1:29" x14ac:dyDescent="0.15">
      <c r="A42" s="5">
        <v>15</v>
      </c>
      <c r="B42" s="3" t="s">
        <v>15</v>
      </c>
      <c r="C42" s="5">
        <v>526</v>
      </c>
      <c r="D42" s="5">
        <v>19</v>
      </c>
      <c r="E42" s="5">
        <v>8</v>
      </c>
      <c r="F42" s="5">
        <v>3</v>
      </c>
      <c r="G42" s="5">
        <v>8</v>
      </c>
      <c r="H42" s="5">
        <v>28</v>
      </c>
      <c r="I42" s="5">
        <v>25</v>
      </c>
      <c r="J42" s="5">
        <v>3</v>
      </c>
      <c r="K42" s="5">
        <v>27</v>
      </c>
      <c r="L42" s="5">
        <v>1.42</v>
      </c>
      <c r="M42" s="5">
        <v>21</v>
      </c>
      <c r="N42" s="5">
        <v>22.3</v>
      </c>
      <c r="O42" s="5">
        <v>-1.3</v>
      </c>
      <c r="P42" s="5">
        <v>-7.0000000000000007E-2</v>
      </c>
      <c r="Q42" s="5">
        <v>19</v>
      </c>
      <c r="R42" s="5">
        <v>4</v>
      </c>
      <c r="S42" s="5">
        <v>4</v>
      </c>
      <c r="T42" s="5">
        <v>11</v>
      </c>
      <c r="U42" s="5">
        <v>19</v>
      </c>
      <c r="V42" s="5">
        <v>43</v>
      </c>
      <c r="W42" s="5">
        <v>-24</v>
      </c>
      <c r="X42" s="5">
        <v>16</v>
      </c>
      <c r="Y42" s="5">
        <v>0.84</v>
      </c>
      <c r="Z42" s="5">
        <v>20.3</v>
      </c>
      <c r="AA42" s="5">
        <v>30.7</v>
      </c>
      <c r="AB42" s="5">
        <v>-10.5</v>
      </c>
      <c r="AC42" s="5">
        <v>-0.55000000000000004</v>
      </c>
    </row>
    <row r="43" spans="1:29" x14ac:dyDescent="0.15">
      <c r="A43" s="5">
        <v>7</v>
      </c>
      <c r="B43" s="3" t="s">
        <v>3</v>
      </c>
      <c r="C43" s="5">
        <v>632</v>
      </c>
      <c r="D43" s="5">
        <v>19</v>
      </c>
      <c r="E43" s="5">
        <v>10</v>
      </c>
      <c r="F43" s="5">
        <v>3</v>
      </c>
      <c r="G43" s="5">
        <v>6</v>
      </c>
      <c r="H43" s="5">
        <v>35</v>
      </c>
      <c r="I43" s="5">
        <v>20</v>
      </c>
      <c r="J43" s="5">
        <v>15</v>
      </c>
      <c r="K43" s="5">
        <v>33</v>
      </c>
      <c r="L43" s="5">
        <v>1.74</v>
      </c>
      <c r="M43" s="5">
        <v>29.6</v>
      </c>
      <c r="N43" s="5">
        <v>21.8</v>
      </c>
      <c r="O43" s="5">
        <v>7.8</v>
      </c>
      <c r="P43" s="5">
        <v>0.41</v>
      </c>
      <c r="Q43" s="5">
        <v>19</v>
      </c>
      <c r="R43" s="5">
        <v>8</v>
      </c>
      <c r="S43" s="5">
        <v>5</v>
      </c>
      <c r="T43" s="5">
        <v>6</v>
      </c>
      <c r="U43" s="5">
        <v>33</v>
      </c>
      <c r="V43" s="5">
        <v>25</v>
      </c>
      <c r="W43" s="5">
        <v>8</v>
      </c>
      <c r="X43" s="5">
        <v>29</v>
      </c>
      <c r="Y43" s="5">
        <v>1.53</v>
      </c>
      <c r="Z43" s="5">
        <v>23.5</v>
      </c>
      <c r="AA43" s="5">
        <v>27.3</v>
      </c>
      <c r="AB43" s="5">
        <v>-3.8</v>
      </c>
      <c r="AC43" s="5">
        <v>-0.2</v>
      </c>
    </row>
    <row r="44" spans="1:29" x14ac:dyDescent="0.15">
      <c r="A44" s="5">
        <v>19</v>
      </c>
      <c r="B44" s="3" t="s">
        <v>44</v>
      </c>
      <c r="C44" s="5">
        <v>283</v>
      </c>
      <c r="D44" s="5">
        <v>19</v>
      </c>
      <c r="E44" s="5">
        <v>3</v>
      </c>
      <c r="F44" s="5">
        <v>6</v>
      </c>
      <c r="G44" s="5">
        <v>10</v>
      </c>
      <c r="H44" s="5">
        <v>15</v>
      </c>
      <c r="I44" s="5">
        <v>39</v>
      </c>
      <c r="J44" s="5">
        <v>-24</v>
      </c>
      <c r="K44" s="5">
        <v>15</v>
      </c>
      <c r="L44" s="5">
        <v>0.79</v>
      </c>
      <c r="M44" s="5">
        <v>18.5</v>
      </c>
      <c r="N44" s="5">
        <v>35.4</v>
      </c>
      <c r="O44" s="5">
        <v>-16.899999999999999</v>
      </c>
      <c r="P44" s="5">
        <v>-0.89</v>
      </c>
      <c r="Q44" s="5">
        <v>19</v>
      </c>
      <c r="R44" s="5">
        <v>2</v>
      </c>
      <c r="S44" s="5">
        <v>5</v>
      </c>
      <c r="T44" s="5">
        <v>12</v>
      </c>
      <c r="U44" s="5">
        <v>20</v>
      </c>
      <c r="V44" s="5">
        <v>37</v>
      </c>
      <c r="W44" s="5">
        <v>-17</v>
      </c>
      <c r="X44" s="5">
        <v>11</v>
      </c>
      <c r="Y44" s="5">
        <v>0.57999999999999996</v>
      </c>
      <c r="Z44" s="5">
        <v>17.399999999999999</v>
      </c>
      <c r="AA44" s="5">
        <v>32.5</v>
      </c>
      <c r="AB44" s="5">
        <v>-15.1</v>
      </c>
      <c r="AC44" s="5">
        <v>-0.8</v>
      </c>
    </row>
    <row r="45" spans="1:29" x14ac:dyDescent="0.15">
      <c r="A45" s="5">
        <v>6</v>
      </c>
      <c r="B45" s="3" t="s">
        <v>9</v>
      </c>
      <c r="C45" s="5">
        <v>632</v>
      </c>
      <c r="D45" s="5">
        <v>19</v>
      </c>
      <c r="E45" s="5">
        <v>10</v>
      </c>
      <c r="F45" s="5">
        <v>4</v>
      </c>
      <c r="G45" s="5">
        <v>5</v>
      </c>
      <c r="H45" s="5">
        <v>32</v>
      </c>
      <c r="I45" s="5">
        <v>22</v>
      </c>
      <c r="J45" s="5">
        <v>10</v>
      </c>
      <c r="K45" s="5">
        <v>34</v>
      </c>
      <c r="L45" s="5">
        <v>1.79</v>
      </c>
      <c r="M45" s="5">
        <v>24.7</v>
      </c>
      <c r="N45" s="5">
        <v>24.9</v>
      </c>
      <c r="O45" s="5">
        <v>-0.2</v>
      </c>
      <c r="P45" s="5">
        <v>-0.01</v>
      </c>
      <c r="Q45" s="5">
        <v>19</v>
      </c>
      <c r="R45" s="5">
        <v>9</v>
      </c>
      <c r="S45" s="5">
        <v>4</v>
      </c>
      <c r="T45" s="5">
        <v>6</v>
      </c>
      <c r="U45" s="5">
        <v>30</v>
      </c>
      <c r="V45" s="5">
        <v>25</v>
      </c>
      <c r="W45" s="5">
        <v>5</v>
      </c>
      <c r="X45" s="5">
        <v>31</v>
      </c>
      <c r="Y45" s="5">
        <v>1.63</v>
      </c>
      <c r="Z45" s="5">
        <v>30.7</v>
      </c>
      <c r="AA45" s="5">
        <v>23.8</v>
      </c>
      <c r="AB45" s="5">
        <v>6.9</v>
      </c>
      <c r="AC45" s="5">
        <v>0.36</v>
      </c>
    </row>
    <row r="46" spans="1:29" x14ac:dyDescent="0.15">
      <c r="A46" s="5">
        <v>13</v>
      </c>
      <c r="B46" s="3" t="s">
        <v>6</v>
      </c>
      <c r="C46" s="5">
        <v>237</v>
      </c>
      <c r="D46" s="5">
        <v>19</v>
      </c>
      <c r="E46" s="5">
        <v>7</v>
      </c>
      <c r="F46" s="5">
        <v>4</v>
      </c>
      <c r="G46" s="5">
        <v>8</v>
      </c>
      <c r="H46" s="5">
        <v>21</v>
      </c>
      <c r="I46" s="5">
        <v>25</v>
      </c>
      <c r="J46" s="5">
        <v>-4</v>
      </c>
      <c r="K46" s="5">
        <v>25</v>
      </c>
      <c r="L46" s="5">
        <v>1.32</v>
      </c>
      <c r="M46" s="5">
        <v>19.899999999999999</v>
      </c>
      <c r="N46" s="5">
        <v>20.6</v>
      </c>
      <c r="O46" s="5">
        <v>-0.7</v>
      </c>
      <c r="P46" s="5">
        <v>-0.04</v>
      </c>
      <c r="Q46" s="5">
        <v>19</v>
      </c>
      <c r="R46" s="5">
        <v>5</v>
      </c>
      <c r="S46" s="5">
        <v>5</v>
      </c>
      <c r="T46" s="5">
        <v>9</v>
      </c>
      <c r="U46" s="5">
        <v>15</v>
      </c>
      <c r="V46" s="5">
        <v>27</v>
      </c>
      <c r="W46" s="5">
        <v>-12</v>
      </c>
      <c r="X46" s="5">
        <v>20</v>
      </c>
      <c r="Y46" s="5">
        <v>1.05</v>
      </c>
      <c r="Z46" s="5">
        <v>16.600000000000001</v>
      </c>
      <c r="AA46" s="5">
        <v>28.9</v>
      </c>
      <c r="AB46" s="5">
        <v>-12.3</v>
      </c>
      <c r="AC46" s="5">
        <v>-0.65</v>
      </c>
    </row>
    <row r="48" spans="1:29" x14ac:dyDescent="0.15">
      <c r="A48" s="76" t="s">
        <v>20</v>
      </c>
      <c r="B48" s="4" t="s">
        <v>21</v>
      </c>
      <c r="C48" s="76" t="s">
        <v>37</v>
      </c>
      <c r="D48" s="76" t="s">
        <v>35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 t="s">
        <v>36</v>
      </c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</row>
    <row r="49" spans="1:29" x14ac:dyDescent="0.15">
      <c r="A49" s="76"/>
      <c r="B49" s="4" t="s">
        <v>39</v>
      </c>
      <c r="C49" s="76"/>
      <c r="D49" s="4" t="s">
        <v>22</v>
      </c>
      <c r="E49" s="4" t="s">
        <v>23</v>
      </c>
      <c r="F49" s="4" t="s">
        <v>24</v>
      </c>
      <c r="G49" s="4" t="s">
        <v>25</v>
      </c>
      <c r="H49" s="4" t="s">
        <v>26</v>
      </c>
      <c r="I49" s="4" t="s">
        <v>27</v>
      </c>
      <c r="J49" s="4" t="s">
        <v>28</v>
      </c>
      <c r="K49" s="4" t="s">
        <v>29</v>
      </c>
      <c r="L49" s="4" t="s">
        <v>30</v>
      </c>
      <c r="M49" s="4" t="s">
        <v>31</v>
      </c>
      <c r="N49" s="4" t="s">
        <v>32</v>
      </c>
      <c r="O49" s="4" t="s">
        <v>33</v>
      </c>
      <c r="P49" s="4" t="s">
        <v>34</v>
      </c>
      <c r="Q49" s="4" t="s">
        <v>22</v>
      </c>
      <c r="R49" s="4" t="s">
        <v>23</v>
      </c>
      <c r="S49" s="4" t="s">
        <v>24</v>
      </c>
      <c r="T49" s="4" t="s">
        <v>25</v>
      </c>
      <c r="U49" s="4" t="s">
        <v>26</v>
      </c>
      <c r="V49" s="4" t="s">
        <v>27</v>
      </c>
      <c r="W49" s="4" t="s">
        <v>28</v>
      </c>
      <c r="X49" s="4" t="s">
        <v>29</v>
      </c>
      <c r="Y49" s="4" t="s">
        <v>30</v>
      </c>
      <c r="Z49" s="4" t="s">
        <v>31</v>
      </c>
      <c r="AA49" s="4" t="s">
        <v>32</v>
      </c>
      <c r="AB49" s="4" t="s">
        <v>33</v>
      </c>
      <c r="AC49" s="4" t="s">
        <v>34</v>
      </c>
    </row>
    <row r="50" spans="1:29" x14ac:dyDescent="0.15">
      <c r="A50" s="5">
        <v>2</v>
      </c>
      <c r="B50" s="3" t="s">
        <v>4</v>
      </c>
      <c r="C50" s="8">
        <v>60236</v>
      </c>
      <c r="D50" s="5">
        <v>19</v>
      </c>
      <c r="E50" s="5">
        <v>15</v>
      </c>
      <c r="F50" s="5">
        <v>2</v>
      </c>
      <c r="G50" s="5">
        <v>2</v>
      </c>
      <c r="H50" s="5">
        <v>48</v>
      </c>
      <c r="I50" s="5">
        <v>16</v>
      </c>
      <c r="J50" s="5">
        <v>32</v>
      </c>
      <c r="K50" s="5">
        <v>47</v>
      </c>
      <c r="L50" s="5">
        <v>2.4700000000000002</v>
      </c>
      <c r="M50" s="5">
        <v>43.5</v>
      </c>
      <c r="N50" s="5">
        <v>13.5</v>
      </c>
      <c r="O50" s="5">
        <v>30</v>
      </c>
      <c r="P50" s="5">
        <v>1.58</v>
      </c>
      <c r="Q50" s="5">
        <v>19</v>
      </c>
      <c r="R50" s="5">
        <v>13</v>
      </c>
      <c r="S50" s="5">
        <v>3</v>
      </c>
      <c r="T50" s="5">
        <v>3</v>
      </c>
      <c r="U50" s="5">
        <v>43</v>
      </c>
      <c r="V50" s="5">
        <v>13</v>
      </c>
      <c r="W50" s="5">
        <v>30</v>
      </c>
      <c r="X50" s="5">
        <v>42</v>
      </c>
      <c r="Y50" s="5">
        <v>2.21</v>
      </c>
      <c r="Z50" s="5">
        <v>32.6</v>
      </c>
      <c r="AA50" s="5">
        <v>14.5</v>
      </c>
      <c r="AB50" s="5">
        <v>18.2</v>
      </c>
      <c r="AC50" s="5">
        <v>0.96</v>
      </c>
    </row>
    <row r="51" spans="1:29" x14ac:dyDescent="0.15">
      <c r="A51" s="5">
        <v>4</v>
      </c>
      <c r="B51" s="3" t="s">
        <v>40</v>
      </c>
      <c r="C51" s="8">
        <v>41858</v>
      </c>
      <c r="D51" s="5">
        <v>19</v>
      </c>
      <c r="E51" s="5">
        <v>12</v>
      </c>
      <c r="F51" s="5">
        <v>4</v>
      </c>
      <c r="G51" s="5">
        <v>3</v>
      </c>
      <c r="H51" s="5">
        <v>48</v>
      </c>
      <c r="I51" s="5">
        <v>28</v>
      </c>
      <c r="J51" s="5">
        <v>20</v>
      </c>
      <c r="K51" s="5">
        <v>40</v>
      </c>
      <c r="L51" s="5">
        <v>2.11</v>
      </c>
      <c r="M51" s="5">
        <v>39</v>
      </c>
      <c r="N51" s="5">
        <v>26.3</v>
      </c>
      <c r="O51" s="5">
        <v>12.7</v>
      </c>
      <c r="P51" s="5">
        <v>0.67</v>
      </c>
      <c r="Q51" s="5">
        <v>19</v>
      </c>
      <c r="R51" s="5">
        <v>8</v>
      </c>
      <c r="S51" s="5">
        <v>4</v>
      </c>
      <c r="T51" s="5">
        <v>7</v>
      </c>
      <c r="U51" s="5">
        <v>28</v>
      </c>
      <c r="V51" s="5">
        <v>33</v>
      </c>
      <c r="W51" s="5">
        <v>-5</v>
      </c>
      <c r="X51" s="5">
        <v>28</v>
      </c>
      <c r="Y51" s="5">
        <v>1.47</v>
      </c>
      <c r="Z51" s="5">
        <v>24.3</v>
      </c>
      <c r="AA51" s="5">
        <v>33.6</v>
      </c>
      <c r="AB51" s="5">
        <v>-9.3000000000000007</v>
      </c>
      <c r="AC51" s="5">
        <v>-0.49</v>
      </c>
    </row>
    <row r="52" spans="1:29" x14ac:dyDescent="0.15">
      <c r="A52" s="5">
        <v>12</v>
      </c>
      <c r="B52" s="3" t="s">
        <v>13</v>
      </c>
      <c r="C52" s="8">
        <v>11103</v>
      </c>
      <c r="D52" s="5">
        <v>19</v>
      </c>
      <c r="E52" s="5">
        <v>7</v>
      </c>
      <c r="F52" s="5">
        <v>6</v>
      </c>
      <c r="G52" s="5">
        <v>6</v>
      </c>
      <c r="H52" s="5">
        <v>27</v>
      </c>
      <c r="I52" s="5">
        <v>28</v>
      </c>
      <c r="J52" s="5">
        <v>-1</v>
      </c>
      <c r="K52" s="5">
        <v>27</v>
      </c>
      <c r="L52" s="5">
        <v>1.42</v>
      </c>
      <c r="M52" s="5">
        <v>27.4</v>
      </c>
      <c r="N52" s="5">
        <v>24.3</v>
      </c>
      <c r="O52" s="5">
        <v>3.1</v>
      </c>
      <c r="P52" s="5">
        <v>0.17</v>
      </c>
      <c r="Q52" s="5">
        <v>19</v>
      </c>
      <c r="R52" s="5">
        <v>6</v>
      </c>
      <c r="S52" s="5">
        <v>3</v>
      </c>
      <c r="T52" s="5">
        <v>10</v>
      </c>
      <c r="U52" s="5">
        <v>27</v>
      </c>
      <c r="V52" s="5">
        <v>39</v>
      </c>
      <c r="W52" s="5">
        <v>-12</v>
      </c>
      <c r="X52" s="5">
        <v>21</v>
      </c>
      <c r="Y52" s="5">
        <v>1.1100000000000001</v>
      </c>
      <c r="Z52" s="5">
        <v>28.5</v>
      </c>
      <c r="AA52" s="5">
        <v>33.799999999999997</v>
      </c>
      <c r="AB52" s="5">
        <v>-5.3</v>
      </c>
      <c r="AC52" s="5">
        <v>-0.28000000000000003</v>
      </c>
    </row>
    <row r="53" spans="1:29" x14ac:dyDescent="0.15">
      <c r="A53" s="5">
        <v>16</v>
      </c>
      <c r="B53" s="3" t="s">
        <v>45</v>
      </c>
      <c r="C53" s="8">
        <v>17082</v>
      </c>
      <c r="D53" s="5">
        <v>19</v>
      </c>
      <c r="E53" s="5">
        <v>5</v>
      </c>
      <c r="F53" s="5">
        <v>7</v>
      </c>
      <c r="G53" s="5">
        <v>7</v>
      </c>
      <c r="H53" s="5">
        <v>29</v>
      </c>
      <c r="I53" s="5">
        <v>34</v>
      </c>
      <c r="J53" s="5">
        <v>-5</v>
      </c>
      <c r="K53" s="5">
        <v>22</v>
      </c>
      <c r="L53" s="5">
        <v>1.1599999999999999</v>
      </c>
      <c r="M53" s="5">
        <v>30.8</v>
      </c>
      <c r="N53" s="5">
        <v>29.7</v>
      </c>
      <c r="O53" s="5">
        <v>1.1000000000000001</v>
      </c>
      <c r="P53" s="5">
        <v>0.06</v>
      </c>
      <c r="Q53" s="5">
        <v>19</v>
      </c>
      <c r="R53" s="5">
        <v>5</v>
      </c>
      <c r="S53" s="5">
        <v>2</v>
      </c>
      <c r="T53" s="5">
        <v>12</v>
      </c>
      <c r="U53" s="5">
        <v>27</v>
      </c>
      <c r="V53" s="5">
        <v>31</v>
      </c>
      <c r="W53" s="5">
        <v>-4</v>
      </c>
      <c r="X53" s="5">
        <v>17</v>
      </c>
      <c r="Y53" s="5">
        <v>0.89</v>
      </c>
      <c r="Z53" s="5">
        <v>27.4</v>
      </c>
      <c r="AA53" s="5">
        <v>26.3</v>
      </c>
      <c r="AB53" s="5">
        <v>1.2</v>
      </c>
      <c r="AC53" s="5">
        <v>0.06</v>
      </c>
    </row>
    <row r="54" spans="1:29" x14ac:dyDescent="0.15">
      <c r="A54" s="5">
        <v>11</v>
      </c>
      <c r="B54" s="3" t="s">
        <v>16</v>
      </c>
      <c r="C54" s="8">
        <v>32638</v>
      </c>
      <c r="D54" s="5">
        <v>19</v>
      </c>
      <c r="E54" s="5">
        <v>8</v>
      </c>
      <c r="F54" s="5">
        <v>6</v>
      </c>
      <c r="G54" s="5">
        <v>5</v>
      </c>
      <c r="H54" s="5">
        <v>30</v>
      </c>
      <c r="I54" s="5">
        <v>27</v>
      </c>
      <c r="J54" s="5">
        <v>3</v>
      </c>
      <c r="K54" s="5">
        <v>30</v>
      </c>
      <c r="L54" s="5">
        <v>1.58</v>
      </c>
      <c r="M54" s="5">
        <v>32.1</v>
      </c>
      <c r="N54" s="5">
        <v>25.4</v>
      </c>
      <c r="O54" s="5">
        <v>6.8</v>
      </c>
      <c r="P54" s="5">
        <v>0.36</v>
      </c>
      <c r="Q54" s="5">
        <v>19</v>
      </c>
      <c r="R54" s="5">
        <v>4</v>
      </c>
      <c r="S54" s="5">
        <v>6</v>
      </c>
      <c r="T54" s="5">
        <v>9</v>
      </c>
      <c r="U54" s="5">
        <v>25</v>
      </c>
      <c r="V54" s="5">
        <v>35</v>
      </c>
      <c r="W54" s="5">
        <v>-10</v>
      </c>
      <c r="X54" s="5">
        <v>18</v>
      </c>
      <c r="Y54" s="5">
        <v>0.95</v>
      </c>
      <c r="Z54" s="5">
        <v>24.7</v>
      </c>
      <c r="AA54" s="5">
        <v>30.1</v>
      </c>
      <c r="AB54" s="5">
        <v>-5.4</v>
      </c>
      <c r="AC54" s="5">
        <v>-0.28000000000000003</v>
      </c>
    </row>
    <row r="55" spans="1:29" x14ac:dyDescent="0.15">
      <c r="A55" s="5">
        <v>19</v>
      </c>
      <c r="B55" s="3" t="s">
        <v>14</v>
      </c>
      <c r="C55" s="8">
        <v>21184</v>
      </c>
      <c r="D55" s="5">
        <v>19</v>
      </c>
      <c r="E55" s="5">
        <v>2</v>
      </c>
      <c r="F55" s="5">
        <v>4</v>
      </c>
      <c r="G55" s="5">
        <v>13</v>
      </c>
      <c r="H55" s="5">
        <v>19</v>
      </c>
      <c r="I55" s="5">
        <v>43</v>
      </c>
      <c r="J55" s="5">
        <v>-24</v>
      </c>
      <c r="K55" s="5">
        <v>10</v>
      </c>
      <c r="L55" s="5">
        <v>0.53</v>
      </c>
      <c r="M55" s="5">
        <v>22.6</v>
      </c>
      <c r="N55" s="5">
        <v>29.1</v>
      </c>
      <c r="O55" s="5">
        <v>-6.5</v>
      </c>
      <c r="P55" s="5">
        <v>-0.34</v>
      </c>
      <c r="Q55" s="5">
        <v>19</v>
      </c>
      <c r="R55" s="5">
        <v>3</v>
      </c>
      <c r="S55" s="5">
        <v>5</v>
      </c>
      <c r="T55" s="5">
        <v>11</v>
      </c>
      <c r="U55" s="5">
        <v>22</v>
      </c>
      <c r="V55" s="5">
        <v>35</v>
      </c>
      <c r="W55" s="5">
        <v>-13</v>
      </c>
      <c r="X55" s="5">
        <v>14</v>
      </c>
      <c r="Y55" s="5">
        <v>0.74</v>
      </c>
      <c r="Z55" s="5">
        <v>18</v>
      </c>
      <c r="AA55" s="5">
        <v>41.3</v>
      </c>
      <c r="AB55" s="5">
        <v>-23.2</v>
      </c>
      <c r="AC55" s="5">
        <v>-1.22</v>
      </c>
    </row>
    <row r="56" spans="1:29" x14ac:dyDescent="0.15">
      <c r="A56" s="5">
        <v>6</v>
      </c>
      <c r="B56" s="3" t="s">
        <v>2</v>
      </c>
      <c r="C56" s="8">
        <v>39524</v>
      </c>
      <c r="D56" s="5">
        <v>19</v>
      </c>
      <c r="E56" s="5">
        <v>11</v>
      </c>
      <c r="F56" s="5">
        <v>4</v>
      </c>
      <c r="G56" s="5">
        <v>4</v>
      </c>
      <c r="H56" s="5">
        <v>44</v>
      </c>
      <c r="I56" s="5">
        <v>26</v>
      </c>
      <c r="J56" s="5">
        <v>18</v>
      </c>
      <c r="K56" s="5">
        <v>37</v>
      </c>
      <c r="L56" s="5">
        <v>1.95</v>
      </c>
      <c r="M56" s="5">
        <v>44.2</v>
      </c>
      <c r="N56" s="5">
        <v>24.9</v>
      </c>
      <c r="O56" s="5">
        <v>19.2</v>
      </c>
      <c r="P56" s="5">
        <v>1.01</v>
      </c>
      <c r="Q56" s="5">
        <v>19</v>
      </c>
      <c r="R56" s="5">
        <v>7</v>
      </c>
      <c r="S56" s="5">
        <v>5</v>
      </c>
      <c r="T56" s="5">
        <v>7</v>
      </c>
      <c r="U56" s="5">
        <v>33</v>
      </c>
      <c r="V56" s="5">
        <v>37</v>
      </c>
      <c r="W56" s="5">
        <v>-4</v>
      </c>
      <c r="X56" s="5">
        <v>26</v>
      </c>
      <c r="Y56" s="5">
        <v>1.37</v>
      </c>
      <c r="Z56" s="5">
        <v>30.3</v>
      </c>
      <c r="AA56" s="5">
        <v>33.1</v>
      </c>
      <c r="AB56" s="5">
        <v>-2.8</v>
      </c>
      <c r="AC56" s="5">
        <v>-0.15</v>
      </c>
    </row>
    <row r="57" spans="1:29" x14ac:dyDescent="0.15">
      <c r="A57" s="5">
        <v>10</v>
      </c>
      <c r="B57" s="3" t="s">
        <v>11</v>
      </c>
      <c r="C57" s="8">
        <v>24932</v>
      </c>
      <c r="D57" s="5">
        <v>19</v>
      </c>
      <c r="E57" s="5">
        <v>8</v>
      </c>
      <c r="F57" s="5">
        <v>4</v>
      </c>
      <c r="G57" s="5">
        <v>7</v>
      </c>
      <c r="H57" s="5">
        <v>37</v>
      </c>
      <c r="I57" s="5">
        <v>26</v>
      </c>
      <c r="J57" s="5">
        <v>11</v>
      </c>
      <c r="K57" s="5">
        <v>28</v>
      </c>
      <c r="L57" s="5">
        <v>1.47</v>
      </c>
      <c r="M57" s="5">
        <v>27.3</v>
      </c>
      <c r="N57" s="5">
        <v>20.9</v>
      </c>
      <c r="O57" s="5">
        <v>6.5</v>
      </c>
      <c r="P57" s="5">
        <v>0.34</v>
      </c>
      <c r="Q57" s="5">
        <v>19</v>
      </c>
      <c r="R57" s="5">
        <v>5</v>
      </c>
      <c r="S57" s="5">
        <v>6</v>
      </c>
      <c r="T57" s="5">
        <v>8</v>
      </c>
      <c r="U57" s="5">
        <v>20</v>
      </c>
      <c r="V57" s="5">
        <v>32</v>
      </c>
      <c r="W57" s="5">
        <v>-12</v>
      </c>
      <c r="X57" s="5">
        <v>21</v>
      </c>
      <c r="Y57" s="5">
        <v>1.1100000000000001</v>
      </c>
      <c r="Z57" s="5">
        <v>21.2</v>
      </c>
      <c r="AA57" s="5">
        <v>31.1</v>
      </c>
      <c r="AB57" s="5">
        <v>-9.9</v>
      </c>
      <c r="AC57" s="5">
        <v>-0.52</v>
      </c>
    </row>
    <row r="58" spans="1:29" x14ac:dyDescent="0.15">
      <c r="A58" s="5">
        <v>15</v>
      </c>
      <c r="B58" s="3" t="s">
        <v>7</v>
      </c>
      <c r="C58" s="8">
        <v>39042</v>
      </c>
      <c r="D58" s="5">
        <v>19</v>
      </c>
      <c r="E58" s="5">
        <v>8</v>
      </c>
      <c r="F58" s="5">
        <v>4</v>
      </c>
      <c r="G58" s="5">
        <v>7</v>
      </c>
      <c r="H58" s="5">
        <v>22</v>
      </c>
      <c r="I58" s="5">
        <v>18</v>
      </c>
      <c r="J58" s="5">
        <v>4</v>
      </c>
      <c r="K58" s="5">
        <v>28</v>
      </c>
      <c r="L58" s="5">
        <v>1.47</v>
      </c>
      <c r="M58" s="5">
        <v>32.1</v>
      </c>
      <c r="N58" s="5">
        <v>22.5</v>
      </c>
      <c r="O58" s="5">
        <v>9.6999999999999993</v>
      </c>
      <c r="P58" s="5">
        <v>0.51</v>
      </c>
      <c r="Q58" s="5">
        <v>19</v>
      </c>
      <c r="R58" s="5">
        <v>5</v>
      </c>
      <c r="S58" s="5">
        <v>5</v>
      </c>
      <c r="T58" s="5">
        <v>9</v>
      </c>
      <c r="U58" s="5">
        <v>18</v>
      </c>
      <c r="V58" s="5">
        <v>33</v>
      </c>
      <c r="W58" s="5">
        <v>-15</v>
      </c>
      <c r="X58" s="5">
        <v>20</v>
      </c>
      <c r="Y58" s="5">
        <v>1.05</v>
      </c>
      <c r="Z58" s="5">
        <v>21.9</v>
      </c>
      <c r="AA58" s="5">
        <v>32.700000000000003</v>
      </c>
      <c r="AB58" s="5">
        <v>-10.8</v>
      </c>
      <c r="AC58" s="5">
        <v>-0.56999999999999995</v>
      </c>
    </row>
    <row r="59" spans="1:29" x14ac:dyDescent="0.15">
      <c r="A59" s="5">
        <v>13</v>
      </c>
      <c r="B59" s="3" t="s">
        <v>18</v>
      </c>
      <c r="C59" s="8">
        <v>24302</v>
      </c>
      <c r="D59" s="5">
        <v>19</v>
      </c>
      <c r="E59" s="5">
        <v>9</v>
      </c>
      <c r="F59" s="5">
        <v>2</v>
      </c>
      <c r="G59" s="5">
        <v>8</v>
      </c>
      <c r="H59" s="5">
        <v>31</v>
      </c>
      <c r="I59" s="5">
        <v>24</v>
      </c>
      <c r="J59" s="5">
        <v>7</v>
      </c>
      <c r="K59" s="5">
        <v>29</v>
      </c>
      <c r="L59" s="5">
        <v>1.53</v>
      </c>
      <c r="M59" s="5">
        <v>27.9</v>
      </c>
      <c r="N59" s="5">
        <v>27.8</v>
      </c>
      <c r="O59" s="5">
        <v>0.1</v>
      </c>
      <c r="P59" s="5">
        <v>0</v>
      </c>
      <c r="Q59" s="5">
        <v>19</v>
      </c>
      <c r="R59" s="5">
        <v>4</v>
      </c>
      <c r="S59" s="5">
        <v>6</v>
      </c>
      <c r="T59" s="5">
        <v>9</v>
      </c>
      <c r="U59" s="5">
        <v>24</v>
      </c>
      <c r="V59" s="5">
        <v>37</v>
      </c>
      <c r="W59" s="5">
        <v>-13</v>
      </c>
      <c r="X59" s="5">
        <v>18</v>
      </c>
      <c r="Y59" s="5">
        <v>0.95</v>
      </c>
      <c r="Z59" s="5">
        <v>22.9</v>
      </c>
      <c r="AA59" s="5">
        <v>35.1</v>
      </c>
      <c r="AB59" s="5">
        <v>-12.2</v>
      </c>
      <c r="AC59" s="5">
        <v>-0.64</v>
      </c>
    </row>
    <row r="60" spans="1:29" x14ac:dyDescent="0.15">
      <c r="A60" s="5">
        <v>3</v>
      </c>
      <c r="B60" s="3" t="s">
        <v>1</v>
      </c>
      <c r="C60" s="8">
        <v>55979</v>
      </c>
      <c r="D60" s="5">
        <v>19</v>
      </c>
      <c r="E60" s="5">
        <v>15</v>
      </c>
      <c r="F60" s="5">
        <v>3</v>
      </c>
      <c r="G60" s="5">
        <v>1</v>
      </c>
      <c r="H60" s="5">
        <v>49</v>
      </c>
      <c r="I60" s="5">
        <v>17</v>
      </c>
      <c r="J60" s="5">
        <v>32</v>
      </c>
      <c r="K60" s="5">
        <v>48</v>
      </c>
      <c r="L60" s="5">
        <v>2.5299999999999998</v>
      </c>
      <c r="M60" s="5">
        <v>54.7</v>
      </c>
      <c r="N60" s="5">
        <v>17.600000000000001</v>
      </c>
      <c r="O60" s="5">
        <v>37.1</v>
      </c>
      <c r="P60" s="5">
        <v>1.95</v>
      </c>
      <c r="Q60" s="5">
        <v>19</v>
      </c>
      <c r="R60" s="5">
        <v>9</v>
      </c>
      <c r="S60" s="5">
        <v>7</v>
      </c>
      <c r="T60" s="5">
        <v>3</v>
      </c>
      <c r="U60" s="5">
        <v>37</v>
      </c>
      <c r="V60" s="5">
        <v>24</v>
      </c>
      <c r="W60" s="5">
        <v>13</v>
      </c>
      <c r="X60" s="5">
        <v>34</v>
      </c>
      <c r="Y60" s="5">
        <v>1.79</v>
      </c>
      <c r="Z60" s="5">
        <v>33</v>
      </c>
      <c r="AA60" s="5">
        <v>28.1</v>
      </c>
      <c r="AB60" s="5">
        <v>4.9000000000000004</v>
      </c>
      <c r="AC60" s="5">
        <v>0.26</v>
      </c>
    </row>
    <row r="61" spans="1:29" x14ac:dyDescent="0.15">
      <c r="A61" s="5">
        <v>18</v>
      </c>
      <c r="B61" s="3" t="s">
        <v>47</v>
      </c>
      <c r="C61" s="8">
        <v>11240</v>
      </c>
      <c r="D61" s="5">
        <v>19</v>
      </c>
      <c r="E61" s="5">
        <v>4</v>
      </c>
      <c r="F61" s="5">
        <v>4</v>
      </c>
      <c r="G61" s="5">
        <v>11</v>
      </c>
      <c r="H61" s="5">
        <v>28</v>
      </c>
      <c r="I61" s="5">
        <v>37</v>
      </c>
      <c r="J61" s="5">
        <v>-9</v>
      </c>
      <c r="K61" s="5">
        <v>16</v>
      </c>
      <c r="L61" s="5">
        <v>0.84</v>
      </c>
      <c r="M61" s="5">
        <v>25.8</v>
      </c>
      <c r="N61" s="5">
        <v>31.1</v>
      </c>
      <c r="O61" s="5">
        <v>-5.3</v>
      </c>
      <c r="P61" s="5">
        <v>-0.28000000000000003</v>
      </c>
      <c r="Q61" s="5">
        <v>19</v>
      </c>
      <c r="R61" s="5">
        <v>2</v>
      </c>
      <c r="S61" s="5">
        <v>4</v>
      </c>
      <c r="T61" s="5">
        <v>13</v>
      </c>
      <c r="U61" s="5">
        <v>24</v>
      </c>
      <c r="V61" s="5">
        <v>48</v>
      </c>
      <c r="W61" s="5">
        <v>-24</v>
      </c>
      <c r="X61" s="5">
        <v>10</v>
      </c>
      <c r="Y61" s="5">
        <v>0.53</v>
      </c>
      <c r="Z61" s="5">
        <v>16.600000000000001</v>
      </c>
      <c r="AA61" s="5">
        <v>46.9</v>
      </c>
      <c r="AB61" s="5">
        <v>-30.2</v>
      </c>
      <c r="AC61" s="5">
        <v>-1.59</v>
      </c>
    </row>
    <row r="62" spans="1:29" x14ac:dyDescent="0.15">
      <c r="A62" s="5">
        <v>1</v>
      </c>
      <c r="B62" s="3" t="s">
        <v>0</v>
      </c>
      <c r="C62" s="8">
        <v>53012</v>
      </c>
      <c r="D62" s="5">
        <v>19</v>
      </c>
      <c r="E62" s="5">
        <v>14</v>
      </c>
      <c r="F62" s="5">
        <v>5</v>
      </c>
      <c r="G62" s="5">
        <v>0</v>
      </c>
      <c r="H62" s="5">
        <v>51</v>
      </c>
      <c r="I62" s="5">
        <v>16</v>
      </c>
      <c r="J62" s="5">
        <v>35</v>
      </c>
      <c r="K62" s="5">
        <v>47</v>
      </c>
      <c r="L62" s="5">
        <v>2.4700000000000002</v>
      </c>
      <c r="M62" s="5">
        <v>40.700000000000003</v>
      </c>
      <c r="N62" s="5">
        <v>14</v>
      </c>
      <c r="O62" s="5">
        <v>26.7</v>
      </c>
      <c r="P62" s="5">
        <v>1.41</v>
      </c>
      <c r="Q62" s="5">
        <v>19</v>
      </c>
      <c r="R62" s="5">
        <v>14</v>
      </c>
      <c r="S62" s="5">
        <v>2</v>
      </c>
      <c r="T62" s="5">
        <v>3</v>
      </c>
      <c r="U62" s="5">
        <v>45</v>
      </c>
      <c r="V62" s="5">
        <v>18</v>
      </c>
      <c r="W62" s="5">
        <v>27</v>
      </c>
      <c r="X62" s="5">
        <v>44</v>
      </c>
      <c r="Y62" s="5">
        <v>2.3199999999999998</v>
      </c>
      <c r="Z62" s="5">
        <v>39.799999999999997</v>
      </c>
      <c r="AA62" s="5">
        <v>21.6</v>
      </c>
      <c r="AB62" s="5">
        <v>18.2</v>
      </c>
      <c r="AC62" s="5">
        <v>0.96</v>
      </c>
    </row>
    <row r="63" spans="1:29" x14ac:dyDescent="0.15">
      <c r="A63" s="5">
        <v>8</v>
      </c>
      <c r="B63" s="3" t="s">
        <v>5</v>
      </c>
      <c r="C63" s="8">
        <v>73533</v>
      </c>
      <c r="D63" s="5">
        <v>19</v>
      </c>
      <c r="E63" s="5">
        <v>10</v>
      </c>
      <c r="F63" s="5">
        <v>3</v>
      </c>
      <c r="G63" s="5">
        <v>6</v>
      </c>
      <c r="H63" s="5">
        <v>31</v>
      </c>
      <c r="I63" s="5">
        <v>28</v>
      </c>
      <c r="J63" s="5">
        <v>3</v>
      </c>
      <c r="K63" s="5">
        <v>33</v>
      </c>
      <c r="L63" s="5">
        <v>1.74</v>
      </c>
      <c r="M63" s="5">
        <v>32.299999999999997</v>
      </c>
      <c r="N63" s="5">
        <v>31.5</v>
      </c>
      <c r="O63" s="5">
        <v>0.8</v>
      </c>
      <c r="P63" s="5">
        <v>0.04</v>
      </c>
      <c r="Q63" s="5">
        <v>19</v>
      </c>
      <c r="R63" s="5">
        <v>8</v>
      </c>
      <c r="S63" s="5">
        <v>3</v>
      </c>
      <c r="T63" s="5">
        <v>8</v>
      </c>
      <c r="U63" s="5">
        <v>26</v>
      </c>
      <c r="V63" s="5">
        <v>30</v>
      </c>
      <c r="W63" s="5">
        <v>-4</v>
      </c>
      <c r="X63" s="5">
        <v>27</v>
      </c>
      <c r="Y63" s="5">
        <v>1.42</v>
      </c>
      <c r="Z63" s="5">
        <v>24.1</v>
      </c>
      <c r="AA63" s="5">
        <v>37.4</v>
      </c>
      <c r="AB63" s="5">
        <v>-13.2</v>
      </c>
      <c r="AC63" s="5">
        <v>-0.7</v>
      </c>
    </row>
    <row r="64" spans="1:29" x14ac:dyDescent="0.15">
      <c r="A64" s="5">
        <v>7</v>
      </c>
      <c r="B64" s="3" t="s">
        <v>12</v>
      </c>
      <c r="C64" s="8">
        <v>52125</v>
      </c>
      <c r="D64" s="5">
        <v>19</v>
      </c>
      <c r="E64" s="5">
        <v>12</v>
      </c>
      <c r="F64" s="5">
        <v>4</v>
      </c>
      <c r="G64" s="5">
        <v>3</v>
      </c>
      <c r="H64" s="5">
        <v>49</v>
      </c>
      <c r="I64" s="5">
        <v>22</v>
      </c>
      <c r="J64" s="5">
        <v>27</v>
      </c>
      <c r="K64" s="5">
        <v>40</v>
      </c>
      <c r="L64" s="5">
        <v>2.11</v>
      </c>
      <c r="M64" s="5">
        <v>46.4</v>
      </c>
      <c r="N64" s="5">
        <v>25</v>
      </c>
      <c r="O64" s="5">
        <v>21.4</v>
      </c>
      <c r="P64" s="5">
        <v>1.1200000000000001</v>
      </c>
      <c r="Q64" s="5">
        <v>19</v>
      </c>
      <c r="R64" s="5">
        <v>6</v>
      </c>
      <c r="S64" s="5">
        <v>2</v>
      </c>
      <c r="T64" s="5">
        <v>11</v>
      </c>
      <c r="U64" s="5">
        <v>36</v>
      </c>
      <c r="V64" s="5">
        <v>40</v>
      </c>
      <c r="W64" s="5">
        <v>-4</v>
      </c>
      <c r="X64" s="5">
        <v>20</v>
      </c>
      <c r="Y64" s="5">
        <v>1.05</v>
      </c>
      <c r="Z64" s="5">
        <v>29.6</v>
      </c>
      <c r="AA64" s="5">
        <v>36.4</v>
      </c>
      <c r="AB64" s="5">
        <v>-6.7</v>
      </c>
      <c r="AC64" s="5">
        <v>-0.36</v>
      </c>
    </row>
    <row r="65" spans="1:29" x14ac:dyDescent="0.15">
      <c r="A65" s="5">
        <v>17</v>
      </c>
      <c r="B65" s="3" t="s">
        <v>48</v>
      </c>
      <c r="C65" s="8">
        <v>29386</v>
      </c>
      <c r="D65" s="5">
        <v>19</v>
      </c>
      <c r="E65" s="5">
        <v>5</v>
      </c>
      <c r="F65" s="5">
        <v>5</v>
      </c>
      <c r="G65" s="5">
        <v>9</v>
      </c>
      <c r="H65" s="5">
        <v>27</v>
      </c>
      <c r="I65" s="5">
        <v>30</v>
      </c>
      <c r="J65" s="5">
        <v>-3</v>
      </c>
      <c r="K65" s="5">
        <v>20</v>
      </c>
      <c r="L65" s="5">
        <v>1.05</v>
      </c>
      <c r="M65" s="5">
        <v>25</v>
      </c>
      <c r="N65" s="5">
        <v>21.8</v>
      </c>
      <c r="O65" s="5">
        <v>3.2</v>
      </c>
      <c r="P65" s="5">
        <v>0.17</v>
      </c>
      <c r="Q65" s="5">
        <v>19</v>
      </c>
      <c r="R65" s="5">
        <v>4</v>
      </c>
      <c r="S65" s="5">
        <v>4</v>
      </c>
      <c r="T65" s="5">
        <v>11</v>
      </c>
      <c r="U65" s="5">
        <v>22</v>
      </c>
      <c r="V65" s="5">
        <v>37</v>
      </c>
      <c r="W65" s="5">
        <v>-15</v>
      </c>
      <c r="X65" s="5">
        <v>16</v>
      </c>
      <c r="Y65" s="5">
        <v>0.84</v>
      </c>
      <c r="Z65" s="5">
        <v>24.9</v>
      </c>
      <c r="AA65" s="5">
        <v>31.5</v>
      </c>
      <c r="AB65" s="5">
        <v>-6.5</v>
      </c>
      <c r="AC65" s="5">
        <v>-0.34</v>
      </c>
    </row>
    <row r="66" spans="1:29" x14ac:dyDescent="0.15">
      <c r="A66" s="5">
        <v>20</v>
      </c>
      <c r="B66" s="3" t="s">
        <v>41</v>
      </c>
      <c r="C66" s="8">
        <v>30011</v>
      </c>
      <c r="D66" s="5">
        <v>19</v>
      </c>
      <c r="E66" s="5">
        <v>2</v>
      </c>
      <c r="F66" s="5">
        <v>4</v>
      </c>
      <c r="G66" s="5">
        <v>13</v>
      </c>
      <c r="H66" s="5">
        <v>19</v>
      </c>
      <c r="I66" s="5">
        <v>57</v>
      </c>
      <c r="J66" s="5">
        <v>-38</v>
      </c>
      <c r="K66" s="5">
        <v>10</v>
      </c>
      <c r="L66" s="5">
        <v>0.53</v>
      </c>
      <c r="M66" s="5">
        <v>24.3</v>
      </c>
      <c r="N66" s="5">
        <v>37.799999999999997</v>
      </c>
      <c r="O66" s="5">
        <v>-13.5</v>
      </c>
      <c r="P66" s="5">
        <v>-0.71</v>
      </c>
      <c r="Q66" s="5">
        <v>19</v>
      </c>
      <c r="R66" s="5">
        <v>1</v>
      </c>
      <c r="S66" s="5">
        <v>3</v>
      </c>
      <c r="T66" s="5">
        <v>15</v>
      </c>
      <c r="U66" s="5">
        <v>16</v>
      </c>
      <c r="V66" s="5">
        <v>47</v>
      </c>
      <c r="W66" s="5">
        <v>-31</v>
      </c>
      <c r="X66" s="5">
        <v>6</v>
      </c>
      <c r="Y66" s="5">
        <v>0.32</v>
      </c>
      <c r="Z66" s="5">
        <v>14</v>
      </c>
      <c r="AA66" s="5">
        <v>38.799999999999997</v>
      </c>
      <c r="AB66" s="5">
        <v>-24.8</v>
      </c>
      <c r="AC66" s="5">
        <v>-1.3</v>
      </c>
    </row>
    <row r="67" spans="1:29" x14ac:dyDescent="0.15">
      <c r="A67" s="5">
        <v>5</v>
      </c>
      <c r="B67" s="3" t="s">
        <v>3</v>
      </c>
      <c r="C67" s="8">
        <v>61482</v>
      </c>
      <c r="D67" s="5">
        <v>19</v>
      </c>
      <c r="E67" s="5">
        <v>13</v>
      </c>
      <c r="F67" s="5">
        <v>0</v>
      </c>
      <c r="G67" s="5">
        <v>6</v>
      </c>
      <c r="H67" s="5">
        <v>38</v>
      </c>
      <c r="I67" s="5">
        <v>27</v>
      </c>
      <c r="J67" s="5">
        <v>11</v>
      </c>
      <c r="K67" s="5">
        <v>39</v>
      </c>
      <c r="L67" s="5">
        <v>2.0499999999999998</v>
      </c>
      <c r="M67" s="5">
        <v>39.200000000000003</v>
      </c>
      <c r="N67" s="5">
        <v>29.3</v>
      </c>
      <c r="O67" s="5">
        <v>9.9</v>
      </c>
      <c r="P67" s="5">
        <v>0.52</v>
      </c>
      <c r="Q67" s="5">
        <v>19</v>
      </c>
      <c r="R67" s="5">
        <v>7</v>
      </c>
      <c r="S67" s="5">
        <v>6</v>
      </c>
      <c r="T67" s="5">
        <v>6</v>
      </c>
      <c r="U67" s="5">
        <v>36</v>
      </c>
      <c r="V67" s="5">
        <v>34</v>
      </c>
      <c r="W67" s="5">
        <v>2</v>
      </c>
      <c r="X67" s="5">
        <v>27</v>
      </c>
      <c r="Y67" s="5">
        <v>1.42</v>
      </c>
      <c r="Z67" s="5">
        <v>28.9</v>
      </c>
      <c r="AA67" s="5">
        <v>34.1</v>
      </c>
      <c r="AB67" s="5">
        <v>-5.2</v>
      </c>
      <c r="AC67" s="5">
        <v>-0.27</v>
      </c>
    </row>
    <row r="68" spans="1:29" x14ac:dyDescent="0.15">
      <c r="A68" s="5">
        <v>9</v>
      </c>
      <c r="B68" s="3" t="s">
        <v>9</v>
      </c>
      <c r="C68" s="8">
        <v>62567</v>
      </c>
      <c r="D68" s="5">
        <v>19</v>
      </c>
      <c r="E68" s="5">
        <v>7</v>
      </c>
      <c r="F68" s="5">
        <v>8</v>
      </c>
      <c r="G68" s="5">
        <v>4</v>
      </c>
      <c r="H68" s="5">
        <v>31</v>
      </c>
      <c r="I68" s="5">
        <v>28</v>
      </c>
      <c r="J68" s="5">
        <v>3</v>
      </c>
      <c r="K68" s="5">
        <v>29</v>
      </c>
      <c r="L68" s="5">
        <v>1.53</v>
      </c>
      <c r="M68" s="5">
        <v>26.3</v>
      </c>
      <c r="N68" s="5">
        <v>29.7</v>
      </c>
      <c r="O68" s="5">
        <v>-3.5</v>
      </c>
      <c r="P68" s="5">
        <v>-0.18</v>
      </c>
      <c r="Q68" s="5">
        <v>19</v>
      </c>
      <c r="R68" s="5">
        <v>7</v>
      </c>
      <c r="S68" s="5">
        <v>2</v>
      </c>
      <c r="T68" s="5">
        <v>10</v>
      </c>
      <c r="U68" s="5">
        <v>29</v>
      </c>
      <c r="V68" s="5">
        <v>46</v>
      </c>
      <c r="W68" s="5">
        <v>-17</v>
      </c>
      <c r="X68" s="5">
        <v>23</v>
      </c>
      <c r="Y68" s="5">
        <v>1.21</v>
      </c>
      <c r="Z68" s="5">
        <v>26.1</v>
      </c>
      <c r="AA68" s="5">
        <v>41.4</v>
      </c>
      <c r="AB68" s="5">
        <v>-15.3</v>
      </c>
      <c r="AC68" s="5">
        <v>-0.8</v>
      </c>
    </row>
    <row r="69" spans="1:29" x14ac:dyDescent="0.15">
      <c r="A69" s="5">
        <v>14</v>
      </c>
      <c r="B69" s="3" t="s">
        <v>6</v>
      </c>
      <c r="C69" s="8">
        <v>31029</v>
      </c>
      <c r="D69" s="5">
        <v>19</v>
      </c>
      <c r="E69" s="5">
        <v>8</v>
      </c>
      <c r="F69" s="5">
        <v>3</v>
      </c>
      <c r="G69" s="5">
        <v>8</v>
      </c>
      <c r="H69" s="5">
        <v>26</v>
      </c>
      <c r="I69" s="5">
        <v>30</v>
      </c>
      <c r="J69" s="5">
        <v>-4</v>
      </c>
      <c r="K69" s="5">
        <v>27</v>
      </c>
      <c r="L69" s="5">
        <v>1.42</v>
      </c>
      <c r="M69" s="5">
        <v>23.2</v>
      </c>
      <c r="N69" s="5">
        <v>30.5</v>
      </c>
      <c r="O69" s="5">
        <v>-7.2</v>
      </c>
      <c r="P69" s="5">
        <v>-0.38</v>
      </c>
      <c r="Q69" s="5">
        <v>19</v>
      </c>
      <c r="R69" s="5">
        <v>5</v>
      </c>
      <c r="S69" s="5">
        <v>4</v>
      </c>
      <c r="T69" s="5">
        <v>10</v>
      </c>
      <c r="U69" s="5">
        <v>24</v>
      </c>
      <c r="V69" s="5">
        <v>35</v>
      </c>
      <c r="W69" s="5">
        <v>-11</v>
      </c>
      <c r="X69" s="5">
        <v>19</v>
      </c>
      <c r="Y69" s="5">
        <v>1</v>
      </c>
      <c r="Z69" s="5">
        <v>23.5</v>
      </c>
      <c r="AA69" s="5">
        <v>37.200000000000003</v>
      </c>
      <c r="AB69" s="5">
        <v>-13.7</v>
      </c>
      <c r="AC69" s="5">
        <v>-0.72</v>
      </c>
    </row>
    <row r="72" spans="1:29" x14ac:dyDescent="0.15">
      <c r="A72" s="76" t="s">
        <v>20</v>
      </c>
      <c r="B72" s="4" t="s">
        <v>21</v>
      </c>
      <c r="C72" s="76" t="s">
        <v>37</v>
      </c>
      <c r="D72" s="76" t="s">
        <v>35</v>
      </c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 t="s">
        <v>36</v>
      </c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</row>
    <row r="73" spans="1:29" x14ac:dyDescent="0.15">
      <c r="A73" s="76"/>
      <c r="B73" s="4" t="s">
        <v>39</v>
      </c>
      <c r="C73" s="76"/>
      <c r="D73" s="4" t="s">
        <v>22</v>
      </c>
      <c r="E73" s="4" t="s">
        <v>23</v>
      </c>
      <c r="F73" s="4" t="s">
        <v>24</v>
      </c>
      <c r="G73" s="4" t="s">
        <v>25</v>
      </c>
      <c r="H73" s="4" t="s">
        <v>26</v>
      </c>
      <c r="I73" s="4" t="s">
        <v>27</v>
      </c>
      <c r="J73" s="4" t="s">
        <v>28</v>
      </c>
      <c r="K73" s="4" t="s">
        <v>29</v>
      </c>
      <c r="L73" s="4" t="s">
        <v>30</v>
      </c>
      <c r="M73" s="4" t="s">
        <v>31</v>
      </c>
      <c r="N73" s="4" t="s">
        <v>32</v>
      </c>
      <c r="O73" s="4" t="s">
        <v>33</v>
      </c>
      <c r="P73" s="4" t="s">
        <v>34</v>
      </c>
      <c r="Q73" s="4" t="s">
        <v>22</v>
      </c>
      <c r="R73" s="4" t="s">
        <v>23</v>
      </c>
      <c r="S73" s="4" t="s">
        <v>24</v>
      </c>
      <c r="T73" s="4" t="s">
        <v>25</v>
      </c>
      <c r="U73" s="4" t="s">
        <v>26</v>
      </c>
      <c r="V73" s="4" t="s">
        <v>27</v>
      </c>
      <c r="W73" s="4" t="s">
        <v>28</v>
      </c>
      <c r="X73" s="4" t="s">
        <v>29</v>
      </c>
      <c r="Y73" s="4" t="s">
        <v>30</v>
      </c>
      <c r="Z73" s="4" t="s">
        <v>31</v>
      </c>
      <c r="AA73" s="4" t="s">
        <v>32</v>
      </c>
      <c r="AB73" s="4" t="s">
        <v>33</v>
      </c>
      <c r="AC73" s="4" t="s">
        <v>34</v>
      </c>
    </row>
    <row r="74" spans="1:29" x14ac:dyDescent="0.15">
      <c r="A74" s="5">
        <v>11</v>
      </c>
      <c r="B74" s="3" t="s">
        <v>49</v>
      </c>
      <c r="C74" s="8">
        <v>17295</v>
      </c>
      <c r="D74" s="5">
        <v>19</v>
      </c>
      <c r="E74" s="5">
        <v>7</v>
      </c>
      <c r="F74" s="5">
        <v>8</v>
      </c>
      <c r="G74" s="5">
        <v>4</v>
      </c>
      <c r="H74" s="5">
        <v>19</v>
      </c>
      <c r="I74" s="5">
        <v>19</v>
      </c>
      <c r="J74" s="5">
        <v>0</v>
      </c>
      <c r="K74" s="5">
        <v>29</v>
      </c>
      <c r="L74" s="5">
        <v>1.53</v>
      </c>
      <c r="M74" s="5">
        <v>22.9</v>
      </c>
      <c r="N74" s="5">
        <v>22.2</v>
      </c>
      <c r="O74" s="5">
        <v>0.7</v>
      </c>
      <c r="P74" s="5">
        <v>0.04</v>
      </c>
      <c r="Q74" s="5">
        <v>19</v>
      </c>
      <c r="R74" s="5">
        <v>6</v>
      </c>
      <c r="S74" s="5">
        <v>3</v>
      </c>
      <c r="T74" s="5">
        <v>10</v>
      </c>
      <c r="U74" s="5">
        <v>20</v>
      </c>
      <c r="V74" s="5">
        <v>31</v>
      </c>
      <c r="W74" s="5">
        <v>-11</v>
      </c>
      <c r="X74" s="5">
        <v>21</v>
      </c>
      <c r="Y74" s="5">
        <v>1.1100000000000001</v>
      </c>
      <c r="Z74" s="5">
        <v>18.2</v>
      </c>
      <c r="AA74" s="5">
        <v>31</v>
      </c>
      <c r="AB74" s="5">
        <v>-12.8</v>
      </c>
      <c r="AC74" s="5">
        <v>-0.67</v>
      </c>
    </row>
    <row r="75" spans="1:29" x14ac:dyDescent="0.15">
      <c r="A75" s="5">
        <v>8</v>
      </c>
      <c r="B75" s="3" t="s">
        <v>51</v>
      </c>
      <c r="C75" s="8">
        <v>40664</v>
      </c>
      <c r="D75" s="5">
        <v>19</v>
      </c>
      <c r="E75" s="5">
        <v>9</v>
      </c>
      <c r="F75" s="5">
        <v>8</v>
      </c>
      <c r="G75" s="5">
        <v>2</v>
      </c>
      <c r="H75" s="5">
        <v>26</v>
      </c>
      <c r="I75" s="5">
        <v>19</v>
      </c>
      <c r="J75" s="5">
        <v>7</v>
      </c>
      <c r="K75" s="5">
        <v>35</v>
      </c>
      <c r="L75" s="5">
        <v>1.84</v>
      </c>
      <c r="M75" s="5">
        <v>25.5</v>
      </c>
      <c r="N75" s="5">
        <v>19.899999999999999</v>
      </c>
      <c r="O75" s="5">
        <v>5.6</v>
      </c>
      <c r="P75" s="5">
        <v>0.3</v>
      </c>
      <c r="Q75" s="5">
        <v>19</v>
      </c>
      <c r="R75" s="5">
        <v>4</v>
      </c>
      <c r="S75" s="5">
        <v>6</v>
      </c>
      <c r="T75" s="5">
        <v>9</v>
      </c>
      <c r="U75" s="5">
        <v>15</v>
      </c>
      <c r="V75" s="5">
        <v>26</v>
      </c>
      <c r="W75" s="5">
        <v>-11</v>
      </c>
      <c r="X75" s="5">
        <v>18</v>
      </c>
      <c r="Y75" s="5">
        <v>0.95</v>
      </c>
      <c r="Z75" s="5">
        <v>17.899999999999999</v>
      </c>
      <c r="AA75" s="5">
        <v>25.8</v>
      </c>
      <c r="AB75" s="5">
        <v>-7.9</v>
      </c>
      <c r="AC75" s="5">
        <v>-0.41</v>
      </c>
    </row>
    <row r="76" spans="1:29" x14ac:dyDescent="0.15">
      <c r="A76" s="5">
        <v>2</v>
      </c>
      <c r="B76" s="3" t="s">
        <v>52</v>
      </c>
      <c r="C76" s="8">
        <v>56216</v>
      </c>
      <c r="D76" s="5">
        <v>19</v>
      </c>
      <c r="E76" s="5">
        <v>15</v>
      </c>
      <c r="F76" s="5">
        <v>3</v>
      </c>
      <c r="G76" s="5">
        <v>1</v>
      </c>
      <c r="H76" s="5">
        <v>32</v>
      </c>
      <c r="I76" s="5">
        <v>10</v>
      </c>
      <c r="J76" s="5">
        <v>22</v>
      </c>
      <c r="K76" s="5">
        <v>48</v>
      </c>
      <c r="L76" s="5">
        <v>2.5299999999999998</v>
      </c>
      <c r="M76" s="5">
        <v>26</v>
      </c>
      <c r="N76" s="5">
        <v>17.899999999999999</v>
      </c>
      <c r="O76" s="5">
        <v>8.1999999999999993</v>
      </c>
      <c r="P76" s="5">
        <v>0.43</v>
      </c>
      <c r="Q76" s="5">
        <v>19</v>
      </c>
      <c r="R76" s="5">
        <v>7</v>
      </c>
      <c r="S76" s="5">
        <v>7</v>
      </c>
      <c r="T76" s="5">
        <v>5</v>
      </c>
      <c r="U76" s="5">
        <v>23</v>
      </c>
      <c r="V76" s="5">
        <v>19</v>
      </c>
      <c r="W76" s="5">
        <v>4</v>
      </c>
      <c r="X76" s="5">
        <v>28</v>
      </c>
      <c r="Y76" s="5">
        <v>1.47</v>
      </c>
      <c r="Z76" s="5">
        <v>21.3</v>
      </c>
      <c r="AA76" s="5">
        <v>24.1</v>
      </c>
      <c r="AB76" s="5">
        <v>-2.8</v>
      </c>
      <c r="AC76" s="5">
        <v>-0.15</v>
      </c>
    </row>
    <row r="77" spans="1:29" x14ac:dyDescent="0.15">
      <c r="A77" s="5">
        <v>1</v>
      </c>
      <c r="B77" s="3" t="s">
        <v>53</v>
      </c>
      <c r="C77" s="8">
        <v>76104</v>
      </c>
      <c r="D77" s="5">
        <v>19</v>
      </c>
      <c r="E77" s="5">
        <v>15</v>
      </c>
      <c r="F77" s="5">
        <v>3</v>
      </c>
      <c r="G77" s="5">
        <v>1</v>
      </c>
      <c r="H77" s="5">
        <v>51</v>
      </c>
      <c r="I77" s="5">
        <v>17</v>
      </c>
      <c r="J77" s="5">
        <v>34</v>
      </c>
      <c r="K77" s="5">
        <v>48</v>
      </c>
      <c r="L77" s="5">
        <v>2.5299999999999998</v>
      </c>
      <c r="M77" s="5">
        <v>45.4</v>
      </c>
      <c r="N77" s="5">
        <v>23.2</v>
      </c>
      <c r="O77" s="5">
        <v>22.1</v>
      </c>
      <c r="P77" s="5">
        <v>1.17</v>
      </c>
      <c r="Q77" s="5">
        <v>19</v>
      </c>
      <c r="R77" s="5">
        <v>11</v>
      </c>
      <c r="S77" s="5">
        <v>6</v>
      </c>
      <c r="T77" s="5">
        <v>2</v>
      </c>
      <c r="U77" s="5">
        <v>39</v>
      </c>
      <c r="V77" s="5">
        <v>19</v>
      </c>
      <c r="W77" s="5">
        <v>20</v>
      </c>
      <c r="X77" s="5">
        <v>39</v>
      </c>
      <c r="Y77" s="5">
        <v>2.0499999999999998</v>
      </c>
      <c r="Z77" s="5">
        <v>30.4</v>
      </c>
      <c r="AA77" s="5">
        <v>22.1</v>
      </c>
      <c r="AB77" s="5">
        <v>8.3000000000000007</v>
      </c>
      <c r="AC77" s="5">
        <v>0.44</v>
      </c>
    </row>
    <row r="78" spans="1:29" x14ac:dyDescent="0.15">
      <c r="A78" s="5">
        <v>10</v>
      </c>
      <c r="B78" s="3" t="s">
        <v>54</v>
      </c>
      <c r="C78" s="8">
        <v>44525</v>
      </c>
      <c r="D78" s="5">
        <v>19</v>
      </c>
      <c r="E78" s="5">
        <v>8</v>
      </c>
      <c r="F78" s="5">
        <v>5</v>
      </c>
      <c r="G78" s="5">
        <v>6</v>
      </c>
      <c r="H78" s="5">
        <v>25</v>
      </c>
      <c r="I78" s="5">
        <v>26</v>
      </c>
      <c r="J78" s="5">
        <v>-1</v>
      </c>
      <c r="K78" s="5">
        <v>29</v>
      </c>
      <c r="L78" s="5">
        <v>1.53</v>
      </c>
      <c r="M78" s="5">
        <v>27.5</v>
      </c>
      <c r="N78" s="5">
        <v>23.7</v>
      </c>
      <c r="O78" s="5">
        <v>3.8</v>
      </c>
      <c r="P78" s="5">
        <v>0.2</v>
      </c>
      <c r="Q78" s="5">
        <v>19</v>
      </c>
      <c r="R78" s="5">
        <v>6</v>
      </c>
      <c r="S78" s="5">
        <v>3</v>
      </c>
      <c r="T78" s="5">
        <v>10</v>
      </c>
      <c r="U78" s="5">
        <v>19</v>
      </c>
      <c r="V78" s="5">
        <v>26</v>
      </c>
      <c r="W78" s="5">
        <v>-7</v>
      </c>
      <c r="X78" s="5">
        <v>21</v>
      </c>
      <c r="Y78" s="5">
        <v>1.1100000000000001</v>
      </c>
      <c r="Z78" s="5">
        <v>19.5</v>
      </c>
      <c r="AA78" s="5">
        <v>25.7</v>
      </c>
      <c r="AB78" s="5">
        <v>-6.2</v>
      </c>
      <c r="AC78" s="5">
        <v>-0.32</v>
      </c>
    </row>
    <row r="79" spans="1:29" x14ac:dyDescent="0.15">
      <c r="A79" s="5">
        <v>17</v>
      </c>
      <c r="B79" s="3" t="s">
        <v>56</v>
      </c>
      <c r="C79" s="8">
        <v>17603</v>
      </c>
      <c r="D79" s="5">
        <v>19</v>
      </c>
      <c r="E79" s="5">
        <v>8</v>
      </c>
      <c r="F79" s="5">
        <v>5</v>
      </c>
      <c r="G79" s="5">
        <v>6</v>
      </c>
      <c r="H79" s="5">
        <v>31</v>
      </c>
      <c r="I79" s="5">
        <v>25</v>
      </c>
      <c r="J79" s="5">
        <v>6</v>
      </c>
      <c r="K79" s="5">
        <v>29</v>
      </c>
      <c r="L79" s="5">
        <v>1.53</v>
      </c>
      <c r="M79" s="5">
        <v>25.4</v>
      </c>
      <c r="N79" s="5">
        <v>25.4</v>
      </c>
      <c r="O79" s="5">
        <v>0</v>
      </c>
      <c r="P79" s="5">
        <v>0</v>
      </c>
      <c r="Q79" s="5">
        <v>19</v>
      </c>
      <c r="R79" s="5">
        <v>2</v>
      </c>
      <c r="S79" s="5">
        <v>6</v>
      </c>
      <c r="T79" s="5">
        <v>11</v>
      </c>
      <c r="U79" s="5">
        <v>22</v>
      </c>
      <c r="V79" s="5">
        <v>37</v>
      </c>
      <c r="W79" s="5">
        <v>-15</v>
      </c>
      <c r="X79" s="5">
        <v>12</v>
      </c>
      <c r="Y79" s="5">
        <v>0.63</v>
      </c>
      <c r="Z79" s="5">
        <v>21.2</v>
      </c>
      <c r="AA79" s="5">
        <v>35.6</v>
      </c>
      <c r="AB79" s="5">
        <v>-14.4</v>
      </c>
      <c r="AC79" s="5">
        <v>-0.76</v>
      </c>
    </row>
    <row r="80" spans="1:29" x14ac:dyDescent="0.15">
      <c r="A80" s="5">
        <v>12</v>
      </c>
      <c r="B80" s="3" t="s">
        <v>69</v>
      </c>
      <c r="C80" s="8">
        <v>4896</v>
      </c>
      <c r="D80" s="5">
        <v>19</v>
      </c>
      <c r="E80" s="5">
        <v>9</v>
      </c>
      <c r="F80" s="5">
        <v>6</v>
      </c>
      <c r="G80" s="5">
        <v>4</v>
      </c>
      <c r="H80" s="5">
        <v>31</v>
      </c>
      <c r="I80" s="5">
        <v>21</v>
      </c>
      <c r="J80" s="5">
        <v>10</v>
      </c>
      <c r="K80" s="5">
        <v>33</v>
      </c>
      <c r="L80" s="5">
        <v>1.74</v>
      </c>
      <c r="M80" s="5">
        <v>32.5</v>
      </c>
      <c r="N80" s="5">
        <v>23.3</v>
      </c>
      <c r="O80" s="5">
        <v>9.1999999999999993</v>
      </c>
      <c r="P80" s="5">
        <v>0.48</v>
      </c>
      <c r="Q80" s="5">
        <v>19</v>
      </c>
      <c r="R80" s="5">
        <v>2</v>
      </c>
      <c r="S80" s="5">
        <v>8</v>
      </c>
      <c r="T80" s="5">
        <v>9</v>
      </c>
      <c r="U80" s="5">
        <v>15</v>
      </c>
      <c r="V80" s="5">
        <v>29</v>
      </c>
      <c r="W80" s="5">
        <v>-14</v>
      </c>
      <c r="X80" s="5">
        <v>14</v>
      </c>
      <c r="Y80" s="5">
        <v>0.74</v>
      </c>
      <c r="Z80" s="5">
        <v>22.3</v>
      </c>
      <c r="AA80" s="5">
        <v>22.5</v>
      </c>
      <c r="AB80" s="5">
        <v>-0.2</v>
      </c>
      <c r="AC80" s="5">
        <v>-0.01</v>
      </c>
    </row>
    <row r="81" spans="1:29" x14ac:dyDescent="0.15">
      <c r="A81" s="5">
        <v>7</v>
      </c>
      <c r="B81" s="3" t="s">
        <v>74</v>
      </c>
      <c r="C81" s="8">
        <v>19388</v>
      </c>
      <c r="D81" s="5">
        <v>19</v>
      </c>
      <c r="E81" s="5">
        <v>11</v>
      </c>
      <c r="F81" s="5">
        <v>3</v>
      </c>
      <c r="G81" s="5">
        <v>5</v>
      </c>
      <c r="H81" s="5">
        <v>28</v>
      </c>
      <c r="I81" s="5">
        <v>22</v>
      </c>
      <c r="J81" s="5">
        <v>6</v>
      </c>
      <c r="K81" s="5">
        <v>36</v>
      </c>
      <c r="L81" s="5">
        <v>1.89</v>
      </c>
      <c r="M81" s="5">
        <v>27.6</v>
      </c>
      <c r="N81" s="5">
        <v>25.3</v>
      </c>
      <c r="O81" s="5">
        <v>2.2999999999999998</v>
      </c>
      <c r="P81" s="5">
        <v>0.12</v>
      </c>
      <c r="Q81" s="5">
        <v>19</v>
      </c>
      <c r="R81" s="5">
        <v>3</v>
      </c>
      <c r="S81" s="5">
        <v>8</v>
      </c>
      <c r="T81" s="5">
        <v>8</v>
      </c>
      <c r="U81" s="5">
        <v>20</v>
      </c>
      <c r="V81" s="5">
        <v>28</v>
      </c>
      <c r="W81" s="5">
        <v>-8</v>
      </c>
      <c r="X81" s="5">
        <v>17</v>
      </c>
      <c r="Y81" s="5">
        <v>0.89</v>
      </c>
      <c r="Z81" s="5">
        <v>21.4</v>
      </c>
      <c r="AA81" s="5">
        <v>28.5</v>
      </c>
      <c r="AB81" s="5">
        <v>-7.1</v>
      </c>
      <c r="AC81" s="5">
        <v>-0.38</v>
      </c>
    </row>
    <row r="82" spans="1:29" x14ac:dyDescent="0.15">
      <c r="A82" s="5">
        <v>5</v>
      </c>
      <c r="B82" s="3" t="s">
        <v>57</v>
      </c>
      <c r="C82" s="8">
        <v>11000</v>
      </c>
      <c r="D82" s="5">
        <v>19</v>
      </c>
      <c r="E82" s="5">
        <v>11</v>
      </c>
      <c r="F82" s="5">
        <v>3</v>
      </c>
      <c r="G82" s="5">
        <v>5</v>
      </c>
      <c r="H82" s="5">
        <v>28</v>
      </c>
      <c r="I82" s="5">
        <v>13</v>
      </c>
      <c r="J82" s="5">
        <v>15</v>
      </c>
      <c r="K82" s="5">
        <v>36</v>
      </c>
      <c r="L82" s="5">
        <v>1.89</v>
      </c>
      <c r="M82" s="5">
        <v>28</v>
      </c>
      <c r="N82" s="5">
        <v>18.8</v>
      </c>
      <c r="O82" s="5">
        <v>9.1</v>
      </c>
      <c r="P82" s="5">
        <v>0.48</v>
      </c>
      <c r="Q82" s="5">
        <v>19</v>
      </c>
      <c r="R82" s="5">
        <v>4</v>
      </c>
      <c r="S82" s="5">
        <v>11</v>
      </c>
      <c r="T82" s="5">
        <v>4</v>
      </c>
      <c r="U82" s="5">
        <v>20</v>
      </c>
      <c r="V82" s="5">
        <v>22</v>
      </c>
      <c r="W82" s="5">
        <v>-2</v>
      </c>
      <c r="X82" s="5">
        <v>23</v>
      </c>
      <c r="Y82" s="5">
        <v>1.21</v>
      </c>
      <c r="Z82" s="5">
        <v>18.2</v>
      </c>
      <c r="AA82" s="5">
        <v>24.7</v>
      </c>
      <c r="AB82" s="5">
        <v>-6.5</v>
      </c>
      <c r="AC82" s="5">
        <v>-0.34</v>
      </c>
    </row>
    <row r="83" spans="1:29" x14ac:dyDescent="0.15">
      <c r="A83" s="5">
        <v>18</v>
      </c>
      <c r="B83" s="3" t="s">
        <v>58</v>
      </c>
      <c r="C83" s="8">
        <v>10948</v>
      </c>
      <c r="D83" s="5">
        <v>19</v>
      </c>
      <c r="E83" s="5">
        <v>3</v>
      </c>
      <c r="F83" s="5">
        <v>6</v>
      </c>
      <c r="G83" s="5">
        <v>10</v>
      </c>
      <c r="H83" s="5">
        <v>17</v>
      </c>
      <c r="I83" s="5">
        <v>28</v>
      </c>
      <c r="J83" s="5">
        <v>-11</v>
      </c>
      <c r="K83" s="5">
        <v>15</v>
      </c>
      <c r="L83" s="5">
        <v>0.79</v>
      </c>
      <c r="M83" s="5">
        <v>23.5</v>
      </c>
      <c r="N83" s="5">
        <v>22.9</v>
      </c>
      <c r="O83" s="5">
        <v>0.7</v>
      </c>
      <c r="P83" s="5">
        <v>0.03</v>
      </c>
      <c r="Q83" s="5">
        <v>19</v>
      </c>
      <c r="R83" s="5">
        <v>6</v>
      </c>
      <c r="S83" s="5">
        <v>4</v>
      </c>
      <c r="T83" s="5">
        <v>9</v>
      </c>
      <c r="U83" s="5">
        <v>20</v>
      </c>
      <c r="V83" s="5">
        <v>25</v>
      </c>
      <c r="W83" s="5">
        <v>-5</v>
      </c>
      <c r="X83" s="5">
        <v>22</v>
      </c>
      <c r="Y83" s="5">
        <v>1.1599999999999999</v>
      </c>
      <c r="Z83" s="5">
        <v>20</v>
      </c>
      <c r="AA83" s="5">
        <v>29.8</v>
      </c>
      <c r="AB83" s="5">
        <v>-9.9</v>
      </c>
      <c r="AC83" s="5">
        <v>-0.52</v>
      </c>
    </row>
    <row r="84" spans="1:29" x14ac:dyDescent="0.15">
      <c r="A84" s="5">
        <v>19</v>
      </c>
      <c r="B84" s="3" t="s">
        <v>71</v>
      </c>
      <c r="C84" s="8">
        <v>6605</v>
      </c>
      <c r="D84" s="5">
        <v>19</v>
      </c>
      <c r="E84" s="5">
        <v>5</v>
      </c>
      <c r="F84" s="5">
        <v>6</v>
      </c>
      <c r="G84" s="5">
        <v>8</v>
      </c>
      <c r="H84" s="5">
        <v>24</v>
      </c>
      <c r="I84" s="5">
        <v>30</v>
      </c>
      <c r="J84" s="5">
        <v>-6</v>
      </c>
      <c r="K84" s="5">
        <v>21</v>
      </c>
      <c r="L84" s="5">
        <v>1.1100000000000001</v>
      </c>
      <c r="M84" s="5">
        <v>30.6</v>
      </c>
      <c r="N84" s="5">
        <v>25.7</v>
      </c>
      <c r="O84" s="5">
        <v>5</v>
      </c>
      <c r="P84" s="5">
        <v>0.26</v>
      </c>
      <c r="Q84" s="5">
        <v>19</v>
      </c>
      <c r="R84" s="5">
        <v>2</v>
      </c>
      <c r="S84" s="5">
        <v>6</v>
      </c>
      <c r="T84" s="5">
        <v>11</v>
      </c>
      <c r="U84" s="5">
        <v>19</v>
      </c>
      <c r="V84" s="5">
        <v>35</v>
      </c>
      <c r="W84" s="5">
        <v>-16</v>
      </c>
      <c r="X84" s="5">
        <v>12</v>
      </c>
      <c r="Y84" s="5">
        <v>0.63</v>
      </c>
      <c r="Z84" s="5">
        <v>20.2</v>
      </c>
      <c r="AA84" s="5">
        <v>34.5</v>
      </c>
      <c r="AB84" s="5">
        <v>-14.3</v>
      </c>
      <c r="AC84" s="5">
        <v>-0.75</v>
      </c>
    </row>
    <row r="85" spans="1:29" x14ac:dyDescent="0.15">
      <c r="A85" s="5">
        <v>13</v>
      </c>
      <c r="B85" s="3" t="s">
        <v>75</v>
      </c>
      <c r="C85" s="8">
        <v>10416</v>
      </c>
      <c r="D85" s="5">
        <v>19</v>
      </c>
      <c r="E85" s="5">
        <v>7</v>
      </c>
      <c r="F85" s="5">
        <v>8</v>
      </c>
      <c r="G85" s="5">
        <v>4</v>
      </c>
      <c r="H85" s="5">
        <v>19</v>
      </c>
      <c r="I85" s="5">
        <v>16</v>
      </c>
      <c r="J85" s="5">
        <v>3</v>
      </c>
      <c r="K85" s="5">
        <v>29</v>
      </c>
      <c r="L85" s="5">
        <v>1.53</v>
      </c>
      <c r="M85" s="5">
        <v>22.9</v>
      </c>
      <c r="N85" s="5">
        <v>16</v>
      </c>
      <c r="O85" s="5">
        <v>6.9</v>
      </c>
      <c r="P85" s="5">
        <v>0.36</v>
      </c>
      <c r="Q85" s="5">
        <v>19</v>
      </c>
      <c r="R85" s="5">
        <v>4</v>
      </c>
      <c r="S85" s="5">
        <v>4</v>
      </c>
      <c r="T85" s="5">
        <v>11</v>
      </c>
      <c r="U85" s="5">
        <v>18</v>
      </c>
      <c r="V85" s="5">
        <v>27</v>
      </c>
      <c r="W85" s="5">
        <v>-9</v>
      </c>
      <c r="X85" s="5">
        <v>16</v>
      </c>
      <c r="Y85" s="5">
        <v>0.84</v>
      </c>
      <c r="Z85" s="5">
        <v>17.7</v>
      </c>
      <c r="AA85" s="5">
        <v>25.2</v>
      </c>
      <c r="AB85" s="5">
        <v>-7.5</v>
      </c>
      <c r="AC85" s="5">
        <v>-0.39</v>
      </c>
    </row>
    <row r="86" spans="1:29" x14ac:dyDescent="0.15">
      <c r="A86" s="5">
        <v>15</v>
      </c>
      <c r="B86" s="3" t="s">
        <v>72</v>
      </c>
      <c r="C86" s="8">
        <v>20216</v>
      </c>
      <c r="D86" s="5">
        <v>19</v>
      </c>
      <c r="E86" s="5">
        <v>6</v>
      </c>
      <c r="F86" s="5">
        <v>7</v>
      </c>
      <c r="G86" s="5">
        <v>6</v>
      </c>
      <c r="H86" s="5">
        <v>34</v>
      </c>
      <c r="I86" s="5">
        <v>34</v>
      </c>
      <c r="J86" s="5">
        <v>0</v>
      </c>
      <c r="K86" s="5">
        <v>25</v>
      </c>
      <c r="L86" s="5">
        <v>1.32</v>
      </c>
      <c r="M86" s="5">
        <v>30.9</v>
      </c>
      <c r="N86" s="5">
        <v>34.700000000000003</v>
      </c>
      <c r="O86" s="5">
        <v>-3.8</v>
      </c>
      <c r="P86" s="5">
        <v>-0.2</v>
      </c>
      <c r="Q86" s="5">
        <v>19</v>
      </c>
      <c r="R86" s="5">
        <v>5</v>
      </c>
      <c r="S86" s="5">
        <v>4</v>
      </c>
      <c r="T86" s="5">
        <v>10</v>
      </c>
      <c r="U86" s="5">
        <v>25</v>
      </c>
      <c r="V86" s="5">
        <v>32</v>
      </c>
      <c r="W86" s="5">
        <v>-7</v>
      </c>
      <c r="X86" s="5">
        <v>19</v>
      </c>
      <c r="Y86" s="5">
        <v>1</v>
      </c>
      <c r="Z86" s="5">
        <v>23.1</v>
      </c>
      <c r="AA86" s="5">
        <v>41.5</v>
      </c>
      <c r="AB86" s="5">
        <v>-18.5</v>
      </c>
      <c r="AC86" s="5">
        <v>-0.97</v>
      </c>
    </row>
    <row r="87" spans="1:29" x14ac:dyDescent="0.15">
      <c r="A87" s="5">
        <v>20</v>
      </c>
      <c r="B87" s="3" t="s">
        <v>63</v>
      </c>
      <c r="C87" s="8">
        <v>11928</v>
      </c>
      <c r="D87" s="5">
        <v>19</v>
      </c>
      <c r="E87" s="5">
        <v>5</v>
      </c>
      <c r="F87" s="5">
        <v>6</v>
      </c>
      <c r="G87" s="5">
        <v>8</v>
      </c>
      <c r="H87" s="5">
        <v>25</v>
      </c>
      <c r="I87" s="5">
        <v>32</v>
      </c>
      <c r="J87" s="5">
        <v>-7</v>
      </c>
      <c r="K87" s="5">
        <v>21</v>
      </c>
      <c r="L87" s="5">
        <v>1.1100000000000001</v>
      </c>
      <c r="M87" s="5">
        <v>29.3</v>
      </c>
      <c r="N87" s="5">
        <v>23.7</v>
      </c>
      <c r="O87" s="5">
        <v>5.5</v>
      </c>
      <c r="P87" s="5">
        <v>0.28999999999999998</v>
      </c>
      <c r="Q87" s="5">
        <v>19</v>
      </c>
      <c r="R87" s="5">
        <v>3</v>
      </c>
      <c r="S87" s="5">
        <v>2</v>
      </c>
      <c r="T87" s="5">
        <v>14</v>
      </c>
      <c r="U87" s="5">
        <v>16</v>
      </c>
      <c r="V87" s="5">
        <v>38</v>
      </c>
      <c r="W87" s="5">
        <v>-22</v>
      </c>
      <c r="X87" s="5">
        <v>11</v>
      </c>
      <c r="Y87" s="5">
        <v>0.57999999999999996</v>
      </c>
      <c r="Z87" s="5">
        <v>19.399999999999999</v>
      </c>
      <c r="AA87" s="5">
        <v>36.299999999999997</v>
      </c>
      <c r="AB87" s="5">
        <v>-16.8</v>
      </c>
      <c r="AC87" s="5">
        <v>-0.89</v>
      </c>
    </row>
    <row r="88" spans="1:29" x14ac:dyDescent="0.15">
      <c r="A88" s="5">
        <v>3</v>
      </c>
      <c r="B88" s="3" t="s">
        <v>64</v>
      </c>
      <c r="C88" s="8">
        <v>61040</v>
      </c>
      <c r="D88" s="5">
        <v>19</v>
      </c>
      <c r="E88" s="5">
        <v>13</v>
      </c>
      <c r="F88" s="5">
        <v>1</v>
      </c>
      <c r="G88" s="5">
        <v>5</v>
      </c>
      <c r="H88" s="5">
        <v>32</v>
      </c>
      <c r="I88" s="5">
        <v>15</v>
      </c>
      <c r="J88" s="5">
        <v>17</v>
      </c>
      <c r="K88" s="5">
        <v>40</v>
      </c>
      <c r="L88" s="5">
        <v>2.11</v>
      </c>
      <c r="M88" s="5">
        <v>35.799999999999997</v>
      </c>
      <c r="N88" s="5">
        <v>19.399999999999999</v>
      </c>
      <c r="O88" s="5">
        <v>16.399999999999999</v>
      </c>
      <c r="P88" s="5">
        <v>0.86</v>
      </c>
      <c r="Q88" s="5">
        <v>19</v>
      </c>
      <c r="R88" s="5">
        <v>8</v>
      </c>
      <c r="S88" s="5">
        <v>4</v>
      </c>
      <c r="T88" s="5">
        <v>7</v>
      </c>
      <c r="U88" s="5">
        <v>31</v>
      </c>
      <c r="V88" s="5">
        <v>31</v>
      </c>
      <c r="W88" s="5">
        <v>0</v>
      </c>
      <c r="X88" s="5">
        <v>28</v>
      </c>
      <c r="Y88" s="5">
        <v>1.47</v>
      </c>
      <c r="Z88" s="5">
        <v>30.9</v>
      </c>
      <c r="AA88" s="5">
        <v>27.7</v>
      </c>
      <c r="AB88" s="5">
        <v>3.2</v>
      </c>
      <c r="AC88" s="5">
        <v>0.17</v>
      </c>
    </row>
    <row r="89" spans="1:29" x14ac:dyDescent="0.15">
      <c r="A89" s="5">
        <v>9</v>
      </c>
      <c r="B89" s="3" t="s">
        <v>65</v>
      </c>
      <c r="C89" s="8">
        <v>22310</v>
      </c>
      <c r="D89" s="5">
        <v>19</v>
      </c>
      <c r="E89" s="5">
        <v>7</v>
      </c>
      <c r="F89" s="5">
        <v>6</v>
      </c>
      <c r="G89" s="5">
        <v>6</v>
      </c>
      <c r="H89" s="5">
        <v>23</v>
      </c>
      <c r="I89" s="5">
        <v>20</v>
      </c>
      <c r="J89" s="5">
        <v>3</v>
      </c>
      <c r="K89" s="5">
        <v>27</v>
      </c>
      <c r="L89" s="5">
        <v>1.42</v>
      </c>
      <c r="M89" s="5">
        <v>29</v>
      </c>
      <c r="N89" s="5">
        <v>20.7</v>
      </c>
      <c r="O89" s="5">
        <v>8.1999999999999993</v>
      </c>
      <c r="P89" s="5">
        <v>0.43</v>
      </c>
      <c r="Q89" s="5">
        <v>19</v>
      </c>
      <c r="R89" s="5">
        <v>6</v>
      </c>
      <c r="S89" s="5">
        <v>5</v>
      </c>
      <c r="T89" s="5">
        <v>8</v>
      </c>
      <c r="U89" s="5">
        <v>22</v>
      </c>
      <c r="V89" s="5">
        <v>26</v>
      </c>
      <c r="W89" s="5">
        <v>-4</v>
      </c>
      <c r="X89" s="5">
        <v>23</v>
      </c>
      <c r="Y89" s="5">
        <v>1.21</v>
      </c>
      <c r="Z89" s="5">
        <v>20.7</v>
      </c>
      <c r="AA89" s="5">
        <v>27.8</v>
      </c>
      <c r="AB89" s="5">
        <v>-7.1</v>
      </c>
      <c r="AC89" s="5">
        <v>-0.38</v>
      </c>
    </row>
    <row r="90" spans="1:29" x14ac:dyDescent="0.15">
      <c r="A90" s="5">
        <v>6</v>
      </c>
      <c r="B90" s="3" t="s">
        <v>66</v>
      </c>
      <c r="C90" s="8">
        <v>35993</v>
      </c>
      <c r="D90" s="5">
        <v>19</v>
      </c>
      <c r="E90" s="5">
        <v>12</v>
      </c>
      <c r="F90" s="5">
        <v>3</v>
      </c>
      <c r="G90" s="5">
        <v>4</v>
      </c>
      <c r="H90" s="5">
        <v>39</v>
      </c>
      <c r="I90" s="5">
        <v>20</v>
      </c>
      <c r="J90" s="5">
        <v>19</v>
      </c>
      <c r="K90" s="5">
        <v>39</v>
      </c>
      <c r="L90" s="5">
        <v>2.0499999999999998</v>
      </c>
      <c r="M90" s="5">
        <v>38.700000000000003</v>
      </c>
      <c r="N90" s="5">
        <v>19.5</v>
      </c>
      <c r="O90" s="5">
        <v>19.2</v>
      </c>
      <c r="P90" s="5">
        <v>1.01</v>
      </c>
      <c r="Q90" s="5">
        <v>19</v>
      </c>
      <c r="R90" s="5">
        <v>5</v>
      </c>
      <c r="S90" s="5">
        <v>5</v>
      </c>
      <c r="T90" s="5">
        <v>9</v>
      </c>
      <c r="U90" s="5">
        <v>23</v>
      </c>
      <c r="V90" s="5">
        <v>27</v>
      </c>
      <c r="W90" s="5">
        <v>-4</v>
      </c>
      <c r="X90" s="5">
        <v>20</v>
      </c>
      <c r="Y90" s="5">
        <v>1.05</v>
      </c>
      <c r="Z90" s="5">
        <v>27.9</v>
      </c>
      <c r="AA90" s="5">
        <v>25.9</v>
      </c>
      <c r="AB90" s="5">
        <v>2</v>
      </c>
      <c r="AC90" s="5">
        <v>0.11</v>
      </c>
    </row>
    <row r="91" spans="1:29" x14ac:dyDescent="0.15">
      <c r="A91" s="5">
        <v>4</v>
      </c>
      <c r="B91" s="3" t="s">
        <v>67</v>
      </c>
      <c r="C91" s="8">
        <v>39504</v>
      </c>
      <c r="D91" s="5">
        <v>19</v>
      </c>
      <c r="E91" s="5">
        <v>7</v>
      </c>
      <c r="F91" s="5">
        <v>10</v>
      </c>
      <c r="G91" s="5">
        <v>2</v>
      </c>
      <c r="H91" s="5">
        <v>24</v>
      </c>
      <c r="I91" s="5">
        <v>12</v>
      </c>
      <c r="J91" s="5">
        <v>12</v>
      </c>
      <c r="K91" s="5">
        <v>31</v>
      </c>
      <c r="L91" s="5">
        <v>1.63</v>
      </c>
      <c r="M91" s="5">
        <v>31.2</v>
      </c>
      <c r="N91" s="5">
        <v>14.7</v>
      </c>
      <c r="O91" s="5">
        <v>16.5</v>
      </c>
      <c r="P91" s="5">
        <v>0.87</v>
      </c>
      <c r="Q91" s="5">
        <v>19</v>
      </c>
      <c r="R91" s="5">
        <v>8</v>
      </c>
      <c r="S91" s="5">
        <v>6</v>
      </c>
      <c r="T91" s="5">
        <v>5</v>
      </c>
      <c r="U91" s="5">
        <v>27</v>
      </c>
      <c r="V91" s="5">
        <v>23</v>
      </c>
      <c r="W91" s="5">
        <v>4</v>
      </c>
      <c r="X91" s="5">
        <v>30</v>
      </c>
      <c r="Y91" s="5">
        <v>1.58</v>
      </c>
      <c r="Z91" s="5">
        <v>29.5</v>
      </c>
      <c r="AA91" s="5">
        <v>28.2</v>
      </c>
      <c r="AB91" s="5">
        <v>1.3</v>
      </c>
      <c r="AC91" s="5">
        <v>7.0000000000000007E-2</v>
      </c>
    </row>
    <row r="92" spans="1:29" x14ac:dyDescent="0.15">
      <c r="A92" s="5">
        <v>16</v>
      </c>
      <c r="B92" s="3" t="s">
        <v>73</v>
      </c>
      <c r="C92" s="8">
        <v>18992</v>
      </c>
      <c r="D92" s="5">
        <v>19</v>
      </c>
      <c r="E92" s="5">
        <v>5</v>
      </c>
      <c r="F92" s="5">
        <v>5</v>
      </c>
      <c r="G92" s="5">
        <v>9</v>
      </c>
      <c r="H92" s="5">
        <v>16</v>
      </c>
      <c r="I92" s="5">
        <v>26</v>
      </c>
      <c r="J92" s="5">
        <v>-10</v>
      </c>
      <c r="K92" s="5">
        <v>20</v>
      </c>
      <c r="L92" s="5">
        <v>1.05</v>
      </c>
      <c r="M92" s="5">
        <v>22.3</v>
      </c>
      <c r="N92" s="5">
        <v>23.3</v>
      </c>
      <c r="O92" s="5">
        <v>-1</v>
      </c>
      <c r="P92" s="5">
        <v>-0.06</v>
      </c>
      <c r="Q92" s="5">
        <v>19</v>
      </c>
      <c r="R92" s="5">
        <v>5</v>
      </c>
      <c r="S92" s="5">
        <v>6</v>
      </c>
      <c r="T92" s="5">
        <v>8</v>
      </c>
      <c r="U92" s="5">
        <v>16</v>
      </c>
      <c r="V92" s="5">
        <v>25</v>
      </c>
      <c r="W92" s="5">
        <v>-9</v>
      </c>
      <c r="X92" s="5">
        <v>21</v>
      </c>
      <c r="Y92" s="5">
        <v>1.1100000000000001</v>
      </c>
      <c r="Z92" s="5">
        <v>18.8</v>
      </c>
      <c r="AA92" s="5">
        <v>35.200000000000003</v>
      </c>
      <c r="AB92" s="5">
        <v>-16.399999999999999</v>
      </c>
      <c r="AC92" s="5">
        <v>-0.86</v>
      </c>
    </row>
    <row r="93" spans="1:29" x14ac:dyDescent="0.15">
      <c r="A93" s="5">
        <v>14</v>
      </c>
      <c r="B93" s="3" t="s">
        <v>68</v>
      </c>
      <c r="C93" s="8">
        <v>16732</v>
      </c>
      <c r="D93" s="5">
        <v>19</v>
      </c>
      <c r="E93" s="5">
        <v>5</v>
      </c>
      <c r="F93" s="5">
        <v>8</v>
      </c>
      <c r="G93" s="5">
        <v>6</v>
      </c>
      <c r="H93" s="5">
        <v>28</v>
      </c>
      <c r="I93" s="5">
        <v>26</v>
      </c>
      <c r="J93" s="5">
        <v>2</v>
      </c>
      <c r="K93" s="5">
        <v>23</v>
      </c>
      <c r="L93" s="5">
        <v>1.21</v>
      </c>
      <c r="M93" s="5">
        <v>30.3</v>
      </c>
      <c r="N93" s="5">
        <v>22.1</v>
      </c>
      <c r="O93" s="5">
        <v>8.1999999999999993</v>
      </c>
      <c r="P93" s="5">
        <v>0.43</v>
      </c>
      <c r="Q93" s="5">
        <v>19</v>
      </c>
      <c r="R93" s="5">
        <v>5</v>
      </c>
      <c r="S93" s="5">
        <v>6</v>
      </c>
      <c r="T93" s="5">
        <v>8</v>
      </c>
      <c r="U93" s="5">
        <v>21</v>
      </c>
      <c r="V93" s="5">
        <v>26</v>
      </c>
      <c r="W93" s="5">
        <v>-5</v>
      </c>
      <c r="X93" s="5">
        <v>21</v>
      </c>
      <c r="Y93" s="5">
        <v>1.1100000000000001</v>
      </c>
      <c r="Z93" s="5">
        <v>23.7</v>
      </c>
      <c r="AA93" s="5">
        <v>32.9</v>
      </c>
      <c r="AB93" s="5">
        <v>-9.3000000000000007</v>
      </c>
      <c r="AC93" s="5">
        <v>-0.49</v>
      </c>
    </row>
    <row r="95" spans="1:29" x14ac:dyDescent="0.15">
      <c r="A95" s="76" t="s">
        <v>20</v>
      </c>
      <c r="B95" s="4" t="s">
        <v>21</v>
      </c>
      <c r="C95" s="76" t="s">
        <v>37</v>
      </c>
      <c r="D95" s="76" t="s">
        <v>35</v>
      </c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 t="s">
        <v>36</v>
      </c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</row>
    <row r="96" spans="1:29" x14ac:dyDescent="0.15">
      <c r="A96" s="76"/>
      <c r="B96" s="4" t="s">
        <v>39</v>
      </c>
      <c r="C96" s="76"/>
      <c r="D96" s="4" t="s">
        <v>22</v>
      </c>
      <c r="E96" s="4" t="s">
        <v>23</v>
      </c>
      <c r="F96" s="4" t="s">
        <v>24</v>
      </c>
      <c r="G96" s="4" t="s">
        <v>25</v>
      </c>
      <c r="H96" s="4" t="s">
        <v>26</v>
      </c>
      <c r="I96" s="4" t="s">
        <v>27</v>
      </c>
      <c r="J96" s="4" t="s">
        <v>28</v>
      </c>
      <c r="K96" s="4" t="s">
        <v>29</v>
      </c>
      <c r="L96" s="4" t="s">
        <v>30</v>
      </c>
      <c r="M96" s="4" t="s">
        <v>31</v>
      </c>
      <c r="N96" s="4" t="s">
        <v>32</v>
      </c>
      <c r="O96" s="4" t="s">
        <v>33</v>
      </c>
      <c r="P96" s="4" t="s">
        <v>34</v>
      </c>
      <c r="Q96" s="4" t="s">
        <v>22</v>
      </c>
      <c r="R96" s="4" t="s">
        <v>23</v>
      </c>
      <c r="S96" s="4" t="s">
        <v>24</v>
      </c>
      <c r="T96" s="4" t="s">
        <v>25</v>
      </c>
      <c r="U96" s="4" t="s">
        <v>26</v>
      </c>
      <c r="V96" s="4" t="s">
        <v>27</v>
      </c>
      <c r="W96" s="4" t="s">
        <v>28</v>
      </c>
      <c r="X96" s="4" t="s">
        <v>29</v>
      </c>
      <c r="Y96" s="4" t="s">
        <v>30</v>
      </c>
      <c r="Z96" s="4" t="s">
        <v>31</v>
      </c>
      <c r="AA96" s="4" t="s">
        <v>32</v>
      </c>
      <c r="AB96" s="4" t="s">
        <v>33</v>
      </c>
      <c r="AC96" s="4" t="s">
        <v>34</v>
      </c>
    </row>
    <row r="97" spans="1:29" x14ac:dyDescent="0.15">
      <c r="A97" s="5">
        <v>16</v>
      </c>
      <c r="B97" s="3" t="s">
        <v>49</v>
      </c>
      <c r="C97" s="5"/>
      <c r="D97" s="5">
        <v>19</v>
      </c>
      <c r="E97" s="5">
        <v>6</v>
      </c>
      <c r="F97" s="5">
        <v>6</v>
      </c>
      <c r="G97" s="5">
        <v>7</v>
      </c>
      <c r="H97" s="5">
        <v>21</v>
      </c>
      <c r="I97" s="5">
        <v>25</v>
      </c>
      <c r="J97" s="5">
        <v>-4</v>
      </c>
      <c r="K97" s="5">
        <v>24</v>
      </c>
      <c r="L97" s="5">
        <v>1.26</v>
      </c>
      <c r="M97" s="5">
        <v>23.7</v>
      </c>
      <c r="N97" s="5">
        <v>23</v>
      </c>
      <c r="O97" s="5">
        <v>0.7</v>
      </c>
      <c r="P97" s="5">
        <v>0.04</v>
      </c>
      <c r="Q97" s="5">
        <v>19</v>
      </c>
      <c r="R97" s="5">
        <v>3</v>
      </c>
      <c r="S97" s="5">
        <v>5</v>
      </c>
      <c r="T97" s="5">
        <v>11</v>
      </c>
      <c r="U97" s="5">
        <v>15</v>
      </c>
      <c r="V97" s="5">
        <v>32</v>
      </c>
      <c r="W97" s="5">
        <v>-17</v>
      </c>
      <c r="X97" s="5">
        <v>14</v>
      </c>
      <c r="Y97" s="5">
        <v>0.74</v>
      </c>
      <c r="Z97" s="5">
        <v>18.899999999999999</v>
      </c>
      <c r="AA97" s="5">
        <v>26.9</v>
      </c>
      <c r="AB97" s="5">
        <v>-8</v>
      </c>
      <c r="AC97" s="5">
        <v>-0.42</v>
      </c>
    </row>
    <row r="98" spans="1:29" x14ac:dyDescent="0.15">
      <c r="A98" s="5">
        <v>10</v>
      </c>
      <c r="B98" s="3" t="s">
        <v>51</v>
      </c>
      <c r="C98" s="5"/>
      <c r="D98" s="5">
        <v>19</v>
      </c>
      <c r="E98" s="5">
        <v>8</v>
      </c>
      <c r="F98" s="5">
        <v>6</v>
      </c>
      <c r="G98" s="5">
        <v>5</v>
      </c>
      <c r="H98" s="5">
        <v>29</v>
      </c>
      <c r="I98" s="5">
        <v>19</v>
      </c>
      <c r="J98" s="5">
        <v>10</v>
      </c>
      <c r="K98" s="5">
        <v>30</v>
      </c>
      <c r="L98" s="5">
        <v>1.58</v>
      </c>
      <c r="M98" s="5">
        <v>26.2</v>
      </c>
      <c r="N98" s="5">
        <v>16.2</v>
      </c>
      <c r="O98" s="5">
        <v>10.1</v>
      </c>
      <c r="P98" s="5">
        <v>0.53</v>
      </c>
      <c r="Q98" s="5">
        <v>19</v>
      </c>
      <c r="R98" s="5">
        <v>3</v>
      </c>
      <c r="S98" s="5">
        <v>7</v>
      </c>
      <c r="T98" s="5">
        <v>9</v>
      </c>
      <c r="U98" s="5">
        <v>17</v>
      </c>
      <c r="V98" s="5">
        <v>23</v>
      </c>
      <c r="W98" s="5">
        <v>-6</v>
      </c>
      <c r="X98" s="5">
        <v>16</v>
      </c>
      <c r="Y98" s="5">
        <v>0.84</v>
      </c>
      <c r="Z98" s="5">
        <v>16.600000000000001</v>
      </c>
      <c r="AA98" s="5">
        <v>21.3</v>
      </c>
      <c r="AB98" s="5">
        <v>-4.8</v>
      </c>
      <c r="AC98" s="5">
        <v>-0.25</v>
      </c>
    </row>
    <row r="99" spans="1:29" x14ac:dyDescent="0.15">
      <c r="A99" s="5">
        <v>1</v>
      </c>
      <c r="B99" s="3" t="s">
        <v>52</v>
      </c>
      <c r="C99" s="5"/>
      <c r="D99" s="5">
        <v>19</v>
      </c>
      <c r="E99" s="5">
        <v>15</v>
      </c>
      <c r="F99" s="5">
        <v>3</v>
      </c>
      <c r="G99" s="5">
        <v>1</v>
      </c>
      <c r="H99" s="5">
        <v>41</v>
      </c>
      <c r="I99" s="5">
        <v>11</v>
      </c>
      <c r="J99" s="5">
        <v>30</v>
      </c>
      <c r="K99" s="5">
        <v>48</v>
      </c>
      <c r="L99" s="5">
        <v>2.5299999999999998</v>
      </c>
      <c r="M99" s="5">
        <v>29.6</v>
      </c>
      <c r="N99" s="5">
        <v>17.8</v>
      </c>
      <c r="O99" s="5">
        <v>11.8</v>
      </c>
      <c r="P99" s="5">
        <v>0.62</v>
      </c>
      <c r="Q99" s="5">
        <v>19</v>
      </c>
      <c r="R99" s="5">
        <v>11</v>
      </c>
      <c r="S99" s="5">
        <v>5</v>
      </c>
      <c r="T99" s="5">
        <v>3</v>
      </c>
      <c r="U99" s="5">
        <v>26</v>
      </c>
      <c r="V99" s="5">
        <v>14</v>
      </c>
      <c r="W99" s="5">
        <v>12</v>
      </c>
      <c r="X99" s="5">
        <v>38</v>
      </c>
      <c r="Y99" s="5">
        <v>2</v>
      </c>
      <c r="Z99" s="5">
        <v>23.2</v>
      </c>
      <c r="AA99" s="5">
        <v>19.3</v>
      </c>
      <c r="AB99" s="5">
        <v>3.9</v>
      </c>
      <c r="AC99" s="5">
        <v>0.21</v>
      </c>
    </row>
    <row r="100" spans="1:29" x14ac:dyDescent="0.15">
      <c r="A100" s="5">
        <v>3</v>
      </c>
      <c r="B100" s="3" t="s">
        <v>53</v>
      </c>
      <c r="C100" s="5"/>
      <c r="D100" s="5">
        <v>19</v>
      </c>
      <c r="E100" s="5">
        <v>11</v>
      </c>
      <c r="F100" s="5">
        <v>5</v>
      </c>
      <c r="G100" s="5">
        <v>3</v>
      </c>
      <c r="H100" s="5">
        <v>44</v>
      </c>
      <c r="I100" s="5">
        <v>20</v>
      </c>
      <c r="J100" s="5">
        <v>24</v>
      </c>
      <c r="K100" s="5">
        <v>38</v>
      </c>
      <c r="L100" s="5">
        <v>2</v>
      </c>
      <c r="M100" s="5">
        <v>40</v>
      </c>
      <c r="N100" s="5">
        <v>21.2</v>
      </c>
      <c r="O100" s="5">
        <v>18.8</v>
      </c>
      <c r="P100" s="5">
        <v>0.99</v>
      </c>
      <c r="Q100" s="5">
        <v>19</v>
      </c>
      <c r="R100" s="5">
        <v>13</v>
      </c>
      <c r="S100" s="5">
        <v>2</v>
      </c>
      <c r="T100" s="5">
        <v>4</v>
      </c>
      <c r="U100" s="5">
        <v>41</v>
      </c>
      <c r="V100" s="5">
        <v>18</v>
      </c>
      <c r="W100" s="5">
        <v>23</v>
      </c>
      <c r="X100" s="5">
        <v>41</v>
      </c>
      <c r="Y100" s="5">
        <v>2.16</v>
      </c>
      <c r="Z100" s="5">
        <v>33.5</v>
      </c>
      <c r="AA100" s="5">
        <v>19.600000000000001</v>
      </c>
      <c r="AB100" s="5">
        <v>13.9</v>
      </c>
      <c r="AC100" s="5">
        <v>0.73</v>
      </c>
    </row>
    <row r="101" spans="1:29" x14ac:dyDescent="0.15">
      <c r="A101" s="5">
        <v>6</v>
      </c>
      <c r="B101" s="3" t="s">
        <v>54</v>
      </c>
      <c r="C101" s="5"/>
      <c r="D101" s="5">
        <v>19</v>
      </c>
      <c r="E101" s="5">
        <v>10</v>
      </c>
      <c r="F101" s="5">
        <v>5</v>
      </c>
      <c r="G101" s="5">
        <v>4</v>
      </c>
      <c r="H101" s="5">
        <v>27</v>
      </c>
      <c r="I101" s="5">
        <v>21</v>
      </c>
      <c r="J101" s="5">
        <v>6</v>
      </c>
      <c r="K101" s="5">
        <v>35</v>
      </c>
      <c r="L101" s="5">
        <v>1.84</v>
      </c>
      <c r="M101" s="5">
        <v>25.6</v>
      </c>
      <c r="N101" s="5">
        <v>22.2</v>
      </c>
      <c r="O101" s="5">
        <v>3.4</v>
      </c>
      <c r="P101" s="5">
        <v>0.18</v>
      </c>
      <c r="Q101" s="5">
        <v>19</v>
      </c>
      <c r="R101" s="5">
        <v>7</v>
      </c>
      <c r="S101" s="5">
        <v>5</v>
      </c>
      <c r="T101" s="5">
        <v>7</v>
      </c>
      <c r="U101" s="5">
        <v>23</v>
      </c>
      <c r="V101" s="5">
        <v>29</v>
      </c>
      <c r="W101" s="5">
        <v>-6</v>
      </c>
      <c r="X101" s="5">
        <v>26</v>
      </c>
      <c r="Y101" s="5">
        <v>1.37</v>
      </c>
      <c r="Z101" s="5">
        <v>23.5</v>
      </c>
      <c r="AA101" s="5">
        <v>24.6</v>
      </c>
      <c r="AB101" s="5">
        <v>-1.1000000000000001</v>
      </c>
      <c r="AC101" s="5">
        <v>-0.06</v>
      </c>
    </row>
    <row r="102" spans="1:29" x14ac:dyDescent="0.15">
      <c r="A102" s="5">
        <v>12</v>
      </c>
      <c r="B102" s="3" t="s">
        <v>55</v>
      </c>
      <c r="C102" s="5"/>
      <c r="D102" s="5">
        <v>19</v>
      </c>
      <c r="E102" s="5">
        <v>5</v>
      </c>
      <c r="F102" s="5">
        <v>5</v>
      </c>
      <c r="G102" s="5">
        <v>9</v>
      </c>
      <c r="H102" s="5">
        <v>17</v>
      </c>
      <c r="I102" s="5">
        <v>30</v>
      </c>
      <c r="J102" s="5">
        <v>-13</v>
      </c>
      <c r="K102" s="5">
        <v>20</v>
      </c>
      <c r="L102" s="5">
        <v>1.05</v>
      </c>
      <c r="M102" s="5">
        <v>17.7</v>
      </c>
      <c r="N102" s="5">
        <v>25.8</v>
      </c>
      <c r="O102" s="5">
        <v>-8.1</v>
      </c>
      <c r="P102" s="5">
        <v>-0.43</v>
      </c>
      <c r="Q102" s="5">
        <v>19</v>
      </c>
      <c r="R102" s="5">
        <v>6</v>
      </c>
      <c r="S102" s="5">
        <v>6</v>
      </c>
      <c r="T102" s="5">
        <v>7</v>
      </c>
      <c r="U102" s="5">
        <v>19</v>
      </c>
      <c r="V102" s="5">
        <v>28</v>
      </c>
      <c r="W102" s="5">
        <v>-9</v>
      </c>
      <c r="X102" s="5">
        <v>24</v>
      </c>
      <c r="Y102" s="5">
        <v>1.26</v>
      </c>
      <c r="Z102" s="5">
        <v>17</v>
      </c>
      <c r="AA102" s="5">
        <v>29.5</v>
      </c>
      <c r="AB102" s="5">
        <v>-12.5</v>
      </c>
      <c r="AC102" s="5">
        <v>-0.66</v>
      </c>
    </row>
    <row r="103" spans="1:29" x14ac:dyDescent="0.15">
      <c r="A103" s="5">
        <v>8</v>
      </c>
      <c r="B103" s="3" t="s">
        <v>56</v>
      </c>
      <c r="C103" s="5">
        <v>91</v>
      </c>
      <c r="D103" s="5">
        <v>19</v>
      </c>
      <c r="E103" s="5">
        <v>9</v>
      </c>
      <c r="F103" s="5">
        <v>3</v>
      </c>
      <c r="G103" s="5">
        <v>7</v>
      </c>
      <c r="H103" s="5">
        <v>30</v>
      </c>
      <c r="I103" s="5">
        <v>30</v>
      </c>
      <c r="J103" s="5">
        <v>0</v>
      </c>
      <c r="K103" s="5">
        <v>30</v>
      </c>
      <c r="L103" s="5">
        <v>1.58</v>
      </c>
      <c r="M103" s="5">
        <v>29.7</v>
      </c>
      <c r="N103" s="5">
        <v>25</v>
      </c>
      <c r="O103" s="5">
        <v>4.5999999999999996</v>
      </c>
      <c r="P103" s="5">
        <v>0.24</v>
      </c>
      <c r="Q103" s="5">
        <v>19</v>
      </c>
      <c r="R103" s="5">
        <v>5</v>
      </c>
      <c r="S103" s="5">
        <v>8</v>
      </c>
      <c r="T103" s="5">
        <v>6</v>
      </c>
      <c r="U103" s="5">
        <v>25</v>
      </c>
      <c r="V103" s="5">
        <v>27</v>
      </c>
      <c r="W103" s="5">
        <v>-2</v>
      </c>
      <c r="X103" s="5">
        <v>23</v>
      </c>
      <c r="Y103" s="5">
        <v>1.21</v>
      </c>
      <c r="Z103" s="5">
        <v>20.7</v>
      </c>
      <c r="AA103" s="5">
        <v>26</v>
      </c>
      <c r="AB103" s="5">
        <v>-5.3</v>
      </c>
      <c r="AC103" s="5">
        <v>-0.28000000000000003</v>
      </c>
    </row>
    <row r="104" spans="1:29" x14ac:dyDescent="0.15">
      <c r="A104" s="5">
        <v>20</v>
      </c>
      <c r="B104" s="3" t="s">
        <v>69</v>
      </c>
      <c r="C104" s="5"/>
      <c r="D104" s="5">
        <v>19</v>
      </c>
      <c r="E104" s="5">
        <v>2</v>
      </c>
      <c r="F104" s="5">
        <v>7</v>
      </c>
      <c r="G104" s="5">
        <v>10</v>
      </c>
      <c r="H104" s="5">
        <v>12</v>
      </c>
      <c r="I104" s="5">
        <v>21</v>
      </c>
      <c r="J104" s="5">
        <v>-9</v>
      </c>
      <c r="K104" s="5">
        <v>13</v>
      </c>
      <c r="L104" s="5">
        <v>0.68</v>
      </c>
      <c r="M104" s="5">
        <v>22.2</v>
      </c>
      <c r="N104" s="5">
        <v>16.899999999999999</v>
      </c>
      <c r="O104" s="5">
        <v>5.3</v>
      </c>
      <c r="P104" s="5">
        <v>0.28000000000000003</v>
      </c>
      <c r="Q104" s="5">
        <v>19</v>
      </c>
      <c r="R104" s="5">
        <v>4</v>
      </c>
      <c r="S104" s="5">
        <v>5</v>
      </c>
      <c r="T104" s="5">
        <v>10</v>
      </c>
      <c r="U104" s="5">
        <v>17</v>
      </c>
      <c r="V104" s="5">
        <v>31</v>
      </c>
      <c r="W104" s="5">
        <v>-14</v>
      </c>
      <c r="X104" s="5">
        <v>17</v>
      </c>
      <c r="Y104" s="5">
        <v>0.89</v>
      </c>
      <c r="Z104" s="5">
        <v>23</v>
      </c>
      <c r="AA104" s="5">
        <v>28.8</v>
      </c>
      <c r="AB104" s="5">
        <v>-5.7</v>
      </c>
      <c r="AC104" s="5">
        <v>-0.3</v>
      </c>
    </row>
    <row r="105" spans="1:29" x14ac:dyDescent="0.15">
      <c r="A105" s="5">
        <v>17</v>
      </c>
      <c r="B105" s="3" t="s">
        <v>70</v>
      </c>
      <c r="C105" s="5">
        <v>185</v>
      </c>
      <c r="D105" s="5">
        <v>19</v>
      </c>
      <c r="E105" s="5">
        <v>5</v>
      </c>
      <c r="F105" s="5">
        <v>8</v>
      </c>
      <c r="G105" s="5">
        <v>6</v>
      </c>
      <c r="H105" s="5">
        <v>18</v>
      </c>
      <c r="I105" s="5">
        <v>23</v>
      </c>
      <c r="J105" s="5">
        <v>-5</v>
      </c>
      <c r="K105" s="5">
        <v>23</v>
      </c>
      <c r="L105" s="5">
        <v>1.21</v>
      </c>
      <c r="M105" s="5">
        <v>16</v>
      </c>
      <c r="N105" s="5">
        <v>30</v>
      </c>
      <c r="O105" s="5">
        <v>-14</v>
      </c>
      <c r="P105" s="5">
        <v>-0.74</v>
      </c>
      <c r="Q105" s="5">
        <v>19</v>
      </c>
      <c r="R105" s="5">
        <v>3</v>
      </c>
      <c r="S105" s="5">
        <v>4</v>
      </c>
      <c r="T105" s="5">
        <v>12</v>
      </c>
      <c r="U105" s="5">
        <v>16</v>
      </c>
      <c r="V105" s="5">
        <v>32</v>
      </c>
      <c r="W105" s="5">
        <v>-16</v>
      </c>
      <c r="X105" s="5">
        <v>13</v>
      </c>
      <c r="Y105" s="5">
        <v>0.68</v>
      </c>
      <c r="Z105" s="5">
        <v>13.9</v>
      </c>
      <c r="AA105" s="5">
        <v>30.9</v>
      </c>
      <c r="AB105" s="5">
        <v>-17</v>
      </c>
      <c r="AC105" s="5">
        <v>-0.89</v>
      </c>
    </row>
    <row r="106" spans="1:29" x14ac:dyDescent="0.15">
      <c r="A106" s="5">
        <v>15</v>
      </c>
      <c r="B106" s="3" t="s">
        <v>57</v>
      </c>
      <c r="C106" s="5"/>
      <c r="D106" s="5">
        <v>19</v>
      </c>
      <c r="E106" s="5">
        <v>6</v>
      </c>
      <c r="F106" s="5">
        <v>6</v>
      </c>
      <c r="G106" s="5">
        <v>7</v>
      </c>
      <c r="H106" s="5">
        <v>15</v>
      </c>
      <c r="I106" s="5">
        <v>13</v>
      </c>
      <c r="J106" s="5">
        <v>2</v>
      </c>
      <c r="K106" s="5">
        <v>24</v>
      </c>
      <c r="L106" s="5">
        <v>1.26</v>
      </c>
      <c r="M106" s="5">
        <v>16.899999999999999</v>
      </c>
      <c r="N106" s="5">
        <v>15.9</v>
      </c>
      <c r="O106" s="5">
        <v>1.1000000000000001</v>
      </c>
      <c r="P106" s="5">
        <v>0.06</v>
      </c>
      <c r="Q106" s="5">
        <v>19</v>
      </c>
      <c r="R106" s="5">
        <v>3</v>
      </c>
      <c r="S106" s="5">
        <v>5</v>
      </c>
      <c r="T106" s="5">
        <v>11</v>
      </c>
      <c r="U106" s="5">
        <v>13</v>
      </c>
      <c r="V106" s="5">
        <v>30</v>
      </c>
      <c r="W106" s="5">
        <v>-17</v>
      </c>
      <c r="X106" s="5">
        <v>14</v>
      </c>
      <c r="Y106" s="5">
        <v>0.74</v>
      </c>
      <c r="Z106" s="5">
        <v>17.5</v>
      </c>
      <c r="AA106" s="5">
        <v>24.5</v>
      </c>
      <c r="AB106" s="5">
        <v>-7</v>
      </c>
      <c r="AC106" s="5">
        <v>-0.37</v>
      </c>
    </row>
    <row r="107" spans="1:29" x14ac:dyDescent="0.15">
      <c r="A107" s="5">
        <v>9</v>
      </c>
      <c r="B107" s="3" t="s">
        <v>59</v>
      </c>
      <c r="C107" s="5"/>
      <c r="D107" s="5">
        <v>19</v>
      </c>
      <c r="E107" s="5">
        <v>9</v>
      </c>
      <c r="F107" s="5">
        <v>4</v>
      </c>
      <c r="G107" s="5">
        <v>6</v>
      </c>
      <c r="H107" s="5">
        <v>25</v>
      </c>
      <c r="I107" s="5">
        <v>25</v>
      </c>
      <c r="J107" s="5">
        <v>0</v>
      </c>
      <c r="K107" s="5">
        <v>31</v>
      </c>
      <c r="L107" s="5">
        <v>1.63</v>
      </c>
      <c r="M107" s="5">
        <v>20.6</v>
      </c>
      <c r="N107" s="5">
        <v>20.2</v>
      </c>
      <c r="O107" s="5">
        <v>0.4</v>
      </c>
      <c r="P107" s="5">
        <v>0.02</v>
      </c>
      <c r="Q107" s="5">
        <v>19</v>
      </c>
      <c r="R107" s="5">
        <v>4</v>
      </c>
      <c r="S107" s="5">
        <v>3</v>
      </c>
      <c r="T107" s="5">
        <v>12</v>
      </c>
      <c r="U107" s="5">
        <v>22</v>
      </c>
      <c r="V107" s="5">
        <v>40</v>
      </c>
      <c r="W107" s="5">
        <v>-18</v>
      </c>
      <c r="X107" s="5">
        <v>15</v>
      </c>
      <c r="Y107" s="5">
        <v>0.79</v>
      </c>
      <c r="Z107" s="5">
        <v>20.5</v>
      </c>
      <c r="AA107" s="5">
        <v>36</v>
      </c>
      <c r="AB107" s="5">
        <v>-15.4</v>
      </c>
      <c r="AC107" s="5">
        <v>-0.81</v>
      </c>
    </row>
    <row r="108" spans="1:29" x14ac:dyDescent="0.15">
      <c r="A108" s="5">
        <v>18</v>
      </c>
      <c r="B108" s="3" t="s">
        <v>71</v>
      </c>
      <c r="C108" s="5"/>
      <c r="D108" s="5">
        <v>19</v>
      </c>
      <c r="E108" s="5">
        <v>5</v>
      </c>
      <c r="F108" s="5">
        <v>7</v>
      </c>
      <c r="G108" s="5">
        <v>7</v>
      </c>
      <c r="H108" s="5">
        <v>17</v>
      </c>
      <c r="I108" s="5">
        <v>21</v>
      </c>
      <c r="J108" s="5">
        <v>-4</v>
      </c>
      <c r="K108" s="5">
        <v>22</v>
      </c>
      <c r="L108" s="5">
        <v>1.1599999999999999</v>
      </c>
      <c r="M108" s="5">
        <v>20</v>
      </c>
      <c r="N108" s="5">
        <v>21.9</v>
      </c>
      <c r="O108" s="5">
        <v>-1.8</v>
      </c>
      <c r="P108" s="5">
        <v>-0.1</v>
      </c>
      <c r="Q108" s="5">
        <v>19</v>
      </c>
      <c r="R108" s="5">
        <v>2</v>
      </c>
      <c r="S108" s="5">
        <v>6</v>
      </c>
      <c r="T108" s="5">
        <v>11</v>
      </c>
      <c r="U108" s="5">
        <v>17</v>
      </c>
      <c r="V108" s="5">
        <v>32</v>
      </c>
      <c r="W108" s="5">
        <v>-15</v>
      </c>
      <c r="X108" s="5">
        <v>12</v>
      </c>
      <c r="Y108" s="5">
        <v>0.63</v>
      </c>
      <c r="Z108" s="5">
        <v>18.7</v>
      </c>
      <c r="AA108" s="5">
        <v>26.2</v>
      </c>
      <c r="AB108" s="5">
        <v>-7.6</v>
      </c>
      <c r="AC108" s="5">
        <v>-0.4</v>
      </c>
    </row>
    <row r="109" spans="1:29" x14ac:dyDescent="0.15">
      <c r="A109" s="5">
        <v>14</v>
      </c>
      <c r="B109" s="3" t="s">
        <v>72</v>
      </c>
      <c r="C109" s="5"/>
      <c r="D109" s="5">
        <v>19</v>
      </c>
      <c r="E109" s="5">
        <v>5</v>
      </c>
      <c r="F109" s="5">
        <v>9</v>
      </c>
      <c r="G109" s="5">
        <v>5</v>
      </c>
      <c r="H109" s="5">
        <v>27</v>
      </c>
      <c r="I109" s="5">
        <v>30</v>
      </c>
      <c r="J109" s="5">
        <v>-3</v>
      </c>
      <c r="K109" s="5">
        <v>24</v>
      </c>
      <c r="L109" s="5">
        <v>1.26</v>
      </c>
      <c r="M109" s="5">
        <v>22.5</v>
      </c>
      <c r="N109" s="5">
        <v>24.4</v>
      </c>
      <c r="O109" s="5">
        <v>-1.9</v>
      </c>
      <c r="P109" s="5">
        <v>-0.1</v>
      </c>
      <c r="Q109" s="5">
        <v>19</v>
      </c>
      <c r="R109" s="5">
        <v>4</v>
      </c>
      <c r="S109" s="5">
        <v>5</v>
      </c>
      <c r="T109" s="5">
        <v>10</v>
      </c>
      <c r="U109" s="5">
        <v>19</v>
      </c>
      <c r="V109" s="5">
        <v>27</v>
      </c>
      <c r="W109" s="5">
        <v>-8</v>
      </c>
      <c r="X109" s="5">
        <v>17</v>
      </c>
      <c r="Y109" s="5">
        <v>0.89</v>
      </c>
      <c r="Z109" s="5">
        <v>18</v>
      </c>
      <c r="AA109" s="5">
        <v>29.1</v>
      </c>
      <c r="AB109" s="5">
        <v>-11.1</v>
      </c>
      <c r="AC109" s="5">
        <v>-0.59</v>
      </c>
    </row>
    <row r="110" spans="1:29" x14ac:dyDescent="0.15">
      <c r="A110" s="5">
        <v>11</v>
      </c>
      <c r="B110" s="3" t="s">
        <v>62</v>
      </c>
      <c r="C110" s="5"/>
      <c r="D110" s="5">
        <v>19</v>
      </c>
      <c r="E110" s="5">
        <v>7</v>
      </c>
      <c r="F110" s="5">
        <v>5</v>
      </c>
      <c r="G110" s="5">
        <v>7</v>
      </c>
      <c r="H110" s="5">
        <v>21</v>
      </c>
      <c r="I110" s="5">
        <v>23</v>
      </c>
      <c r="J110" s="5">
        <v>-2</v>
      </c>
      <c r="K110" s="5">
        <v>26</v>
      </c>
      <c r="L110" s="5">
        <v>1.37</v>
      </c>
      <c r="M110" s="5">
        <v>19.2</v>
      </c>
      <c r="N110" s="5">
        <v>23.6</v>
      </c>
      <c r="O110" s="5">
        <v>-4.5</v>
      </c>
      <c r="P110" s="5">
        <v>-0.23</v>
      </c>
      <c r="Q110" s="5">
        <v>19</v>
      </c>
      <c r="R110" s="5">
        <v>4</v>
      </c>
      <c r="S110" s="5">
        <v>6</v>
      </c>
      <c r="T110" s="5">
        <v>9</v>
      </c>
      <c r="U110" s="5">
        <v>16</v>
      </c>
      <c r="V110" s="5">
        <v>25</v>
      </c>
      <c r="W110" s="5">
        <v>-9</v>
      </c>
      <c r="X110" s="5">
        <v>18</v>
      </c>
      <c r="Y110" s="5">
        <v>0.95</v>
      </c>
      <c r="Z110" s="5">
        <v>19.600000000000001</v>
      </c>
      <c r="AA110" s="5">
        <v>24.1</v>
      </c>
      <c r="AB110" s="5">
        <v>-4.5999999999999996</v>
      </c>
      <c r="AC110" s="5">
        <v>-0.24</v>
      </c>
    </row>
    <row r="111" spans="1:29" x14ac:dyDescent="0.15">
      <c r="A111" s="5">
        <v>2</v>
      </c>
      <c r="B111" s="3" t="s">
        <v>64</v>
      </c>
      <c r="C111" s="5"/>
      <c r="D111" s="5">
        <v>19</v>
      </c>
      <c r="E111" s="5">
        <v>13</v>
      </c>
      <c r="F111" s="5">
        <v>3</v>
      </c>
      <c r="G111" s="5">
        <v>3</v>
      </c>
      <c r="H111" s="5">
        <v>33</v>
      </c>
      <c r="I111" s="5">
        <v>13</v>
      </c>
      <c r="J111" s="5">
        <v>20</v>
      </c>
      <c r="K111" s="5">
        <v>42</v>
      </c>
      <c r="L111" s="5">
        <v>2.21</v>
      </c>
      <c r="M111" s="5">
        <v>28.6</v>
      </c>
      <c r="N111" s="5">
        <v>16.100000000000001</v>
      </c>
      <c r="O111" s="5">
        <v>12.5</v>
      </c>
      <c r="P111" s="5">
        <v>0.66</v>
      </c>
      <c r="Q111" s="5">
        <v>19</v>
      </c>
      <c r="R111" s="5">
        <v>12</v>
      </c>
      <c r="S111" s="5">
        <v>6</v>
      </c>
      <c r="T111" s="5">
        <v>1</v>
      </c>
      <c r="U111" s="5">
        <v>34</v>
      </c>
      <c r="V111" s="5">
        <v>15</v>
      </c>
      <c r="W111" s="5">
        <v>19</v>
      </c>
      <c r="X111" s="5">
        <v>42</v>
      </c>
      <c r="Y111" s="5">
        <v>2.21</v>
      </c>
      <c r="Z111" s="5">
        <v>32.9</v>
      </c>
      <c r="AA111" s="5">
        <v>21.5</v>
      </c>
      <c r="AB111" s="5">
        <v>11.4</v>
      </c>
      <c r="AC111" s="5">
        <v>0.6</v>
      </c>
    </row>
    <row r="112" spans="1:29" x14ac:dyDescent="0.15">
      <c r="A112" s="5">
        <v>5</v>
      </c>
      <c r="B112" s="3" t="s">
        <v>65</v>
      </c>
      <c r="C112" s="5"/>
      <c r="D112" s="5">
        <v>19</v>
      </c>
      <c r="E112" s="5">
        <v>9</v>
      </c>
      <c r="F112" s="5">
        <v>6</v>
      </c>
      <c r="G112" s="5">
        <v>4</v>
      </c>
      <c r="H112" s="5">
        <v>34</v>
      </c>
      <c r="I112" s="5">
        <v>21</v>
      </c>
      <c r="J112" s="5">
        <v>13</v>
      </c>
      <c r="K112" s="5">
        <v>33</v>
      </c>
      <c r="L112" s="5">
        <v>1.74</v>
      </c>
      <c r="M112" s="5">
        <v>35.700000000000003</v>
      </c>
      <c r="N112" s="5">
        <v>19</v>
      </c>
      <c r="O112" s="5">
        <v>16.600000000000001</v>
      </c>
      <c r="P112" s="5">
        <v>0.88</v>
      </c>
      <c r="Q112" s="5">
        <v>19</v>
      </c>
      <c r="R112" s="5">
        <v>8</v>
      </c>
      <c r="S112" s="5">
        <v>5</v>
      </c>
      <c r="T112" s="5">
        <v>6</v>
      </c>
      <c r="U112" s="5">
        <v>25</v>
      </c>
      <c r="V112" s="5">
        <v>17</v>
      </c>
      <c r="W112" s="5">
        <v>8</v>
      </c>
      <c r="X112" s="5">
        <v>29</v>
      </c>
      <c r="Y112" s="5">
        <v>1.53</v>
      </c>
      <c r="Z112" s="5">
        <v>25.1</v>
      </c>
      <c r="AA112" s="5">
        <v>20.100000000000001</v>
      </c>
      <c r="AB112" s="5">
        <v>4.9000000000000004</v>
      </c>
      <c r="AC112" s="5">
        <v>0.26</v>
      </c>
    </row>
    <row r="113" spans="1:29" x14ac:dyDescent="0.15">
      <c r="A113" s="5">
        <v>4</v>
      </c>
      <c r="B113" s="3" t="s">
        <v>66</v>
      </c>
      <c r="C113" s="5"/>
      <c r="D113" s="5">
        <v>19</v>
      </c>
      <c r="E113" s="5">
        <v>14</v>
      </c>
      <c r="F113" s="5">
        <v>1</v>
      </c>
      <c r="G113" s="5">
        <v>4</v>
      </c>
      <c r="H113" s="5">
        <v>27</v>
      </c>
      <c r="I113" s="5">
        <v>11</v>
      </c>
      <c r="J113" s="5">
        <v>16</v>
      </c>
      <c r="K113" s="5">
        <v>43</v>
      </c>
      <c r="L113" s="5">
        <v>2.2599999999999998</v>
      </c>
      <c r="M113" s="5">
        <v>27.5</v>
      </c>
      <c r="N113" s="5">
        <v>16.2</v>
      </c>
      <c r="O113" s="5">
        <v>11.3</v>
      </c>
      <c r="P113" s="5">
        <v>0.6</v>
      </c>
      <c r="Q113" s="5">
        <v>19</v>
      </c>
      <c r="R113" s="5">
        <v>10</v>
      </c>
      <c r="S113" s="5">
        <v>4</v>
      </c>
      <c r="T113" s="5">
        <v>5</v>
      </c>
      <c r="U113" s="5">
        <v>26</v>
      </c>
      <c r="V113" s="5">
        <v>22</v>
      </c>
      <c r="W113" s="5">
        <v>4</v>
      </c>
      <c r="X113" s="5">
        <v>34</v>
      </c>
      <c r="Y113" s="5">
        <v>1.79</v>
      </c>
      <c r="Z113" s="5">
        <v>26.9</v>
      </c>
      <c r="AA113" s="5">
        <v>18.600000000000001</v>
      </c>
      <c r="AB113" s="5">
        <v>8.3000000000000007</v>
      </c>
      <c r="AC113" s="5">
        <v>0.44</v>
      </c>
    </row>
    <row r="114" spans="1:29" x14ac:dyDescent="0.15">
      <c r="A114" s="5">
        <v>13</v>
      </c>
      <c r="B114" s="3" t="s">
        <v>67</v>
      </c>
      <c r="C114" s="5">
        <v>142</v>
      </c>
      <c r="D114" s="5">
        <v>19</v>
      </c>
      <c r="E114" s="5">
        <v>8</v>
      </c>
      <c r="F114" s="5">
        <v>7</v>
      </c>
      <c r="G114" s="5">
        <v>4</v>
      </c>
      <c r="H114" s="5">
        <v>34</v>
      </c>
      <c r="I114" s="5">
        <v>23</v>
      </c>
      <c r="J114" s="5">
        <v>11</v>
      </c>
      <c r="K114" s="5">
        <v>31</v>
      </c>
      <c r="L114" s="5">
        <v>1.63</v>
      </c>
      <c r="M114" s="5">
        <v>25.1</v>
      </c>
      <c r="N114" s="5">
        <v>28</v>
      </c>
      <c r="O114" s="5">
        <v>-2.8</v>
      </c>
      <c r="P114" s="5">
        <v>-0.15</v>
      </c>
      <c r="Q114" s="5">
        <v>19</v>
      </c>
      <c r="R114" s="5">
        <v>2</v>
      </c>
      <c r="S114" s="5">
        <v>6</v>
      </c>
      <c r="T114" s="5">
        <v>11</v>
      </c>
      <c r="U114" s="5">
        <v>16</v>
      </c>
      <c r="V114" s="5">
        <v>30</v>
      </c>
      <c r="W114" s="5">
        <v>-14</v>
      </c>
      <c r="X114" s="5">
        <v>12</v>
      </c>
      <c r="Y114" s="5">
        <v>0.63</v>
      </c>
      <c r="Z114" s="5">
        <v>17.399999999999999</v>
      </c>
      <c r="AA114" s="5">
        <v>24.2</v>
      </c>
      <c r="AB114" s="5">
        <v>-6.8</v>
      </c>
      <c r="AC114" s="5">
        <v>-0.36</v>
      </c>
    </row>
    <row r="115" spans="1:29" x14ac:dyDescent="0.15">
      <c r="A115" s="5">
        <v>19</v>
      </c>
      <c r="B115" s="3" t="s">
        <v>73</v>
      </c>
      <c r="C115" s="5"/>
      <c r="D115" s="5">
        <v>19</v>
      </c>
      <c r="E115" s="5">
        <v>3</v>
      </c>
      <c r="F115" s="5">
        <v>7</v>
      </c>
      <c r="G115" s="5">
        <v>9</v>
      </c>
      <c r="H115" s="5">
        <v>19</v>
      </c>
      <c r="I115" s="5">
        <v>30</v>
      </c>
      <c r="J115" s="5">
        <v>-11</v>
      </c>
      <c r="K115" s="5">
        <v>16</v>
      </c>
      <c r="L115" s="5">
        <v>0.84</v>
      </c>
      <c r="M115" s="5">
        <v>24.3</v>
      </c>
      <c r="N115" s="5">
        <v>25.9</v>
      </c>
      <c r="O115" s="5">
        <v>-1.6</v>
      </c>
      <c r="P115" s="5">
        <v>-0.09</v>
      </c>
      <c r="Q115" s="5">
        <v>19</v>
      </c>
      <c r="R115" s="5">
        <v>2</v>
      </c>
      <c r="S115" s="5">
        <v>9</v>
      </c>
      <c r="T115" s="5">
        <v>8</v>
      </c>
      <c r="U115" s="5">
        <v>15</v>
      </c>
      <c r="V115" s="5">
        <v>27</v>
      </c>
      <c r="W115" s="5">
        <v>-12</v>
      </c>
      <c r="X115" s="5">
        <v>15</v>
      </c>
      <c r="Y115" s="5">
        <v>0.79</v>
      </c>
      <c r="Z115" s="5">
        <v>15.8</v>
      </c>
      <c r="AA115" s="5">
        <v>27</v>
      </c>
      <c r="AB115" s="5">
        <v>-11.2</v>
      </c>
      <c r="AC115" s="5">
        <v>-0.59</v>
      </c>
    </row>
    <row r="116" spans="1:29" x14ac:dyDescent="0.15">
      <c r="A116" s="5">
        <v>7</v>
      </c>
      <c r="B116" s="3" t="s">
        <v>68</v>
      </c>
      <c r="C116" s="5">
        <v>253</v>
      </c>
      <c r="D116" s="5">
        <v>19</v>
      </c>
      <c r="E116" s="5">
        <v>8</v>
      </c>
      <c r="F116" s="5">
        <v>6</v>
      </c>
      <c r="G116" s="5">
        <v>5</v>
      </c>
      <c r="H116" s="5">
        <v>29</v>
      </c>
      <c r="I116" s="5">
        <v>23</v>
      </c>
      <c r="J116" s="5">
        <v>6</v>
      </c>
      <c r="K116" s="5">
        <v>30</v>
      </c>
      <c r="L116" s="5">
        <v>1.58</v>
      </c>
      <c r="M116" s="5">
        <v>30.8</v>
      </c>
      <c r="N116" s="5">
        <v>18.899999999999999</v>
      </c>
      <c r="O116" s="5">
        <v>11.8</v>
      </c>
      <c r="P116" s="5">
        <v>0.62</v>
      </c>
      <c r="Q116" s="5">
        <v>19</v>
      </c>
      <c r="R116" s="5">
        <v>7</v>
      </c>
      <c r="S116" s="5">
        <v>7</v>
      </c>
      <c r="T116" s="5">
        <v>5</v>
      </c>
      <c r="U116" s="5">
        <v>31</v>
      </c>
      <c r="V116" s="5">
        <v>21</v>
      </c>
      <c r="W116" s="5">
        <v>10</v>
      </c>
      <c r="X116" s="5">
        <v>28</v>
      </c>
      <c r="Y116" s="5">
        <v>1.47</v>
      </c>
      <c r="Z116" s="5">
        <v>25.6</v>
      </c>
      <c r="AA116" s="5">
        <v>23.6</v>
      </c>
      <c r="AB116" s="5">
        <v>2.1</v>
      </c>
      <c r="AC116" s="5">
        <v>0.11</v>
      </c>
    </row>
    <row r="118" spans="1:29" x14ac:dyDescent="0.15">
      <c r="A118" s="76" t="s">
        <v>20</v>
      </c>
      <c r="B118" s="4" t="s">
        <v>21</v>
      </c>
      <c r="C118" s="76" t="s">
        <v>37</v>
      </c>
      <c r="D118" s="76" t="s">
        <v>35</v>
      </c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 t="s">
        <v>36</v>
      </c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</row>
    <row r="119" spans="1:29" x14ac:dyDescent="0.15">
      <c r="A119" s="76"/>
      <c r="B119" s="4" t="s">
        <v>39</v>
      </c>
      <c r="C119" s="76"/>
      <c r="D119" s="4" t="s">
        <v>22</v>
      </c>
      <c r="E119" s="4" t="s">
        <v>23</v>
      </c>
      <c r="F119" s="4" t="s">
        <v>24</v>
      </c>
      <c r="G119" s="4" t="s">
        <v>25</v>
      </c>
      <c r="H119" s="4" t="s">
        <v>26</v>
      </c>
      <c r="I119" s="4" t="s">
        <v>27</v>
      </c>
      <c r="J119" s="4" t="s">
        <v>28</v>
      </c>
      <c r="K119" s="4" t="s">
        <v>29</v>
      </c>
      <c r="L119" s="4" t="s">
        <v>30</v>
      </c>
      <c r="M119" s="4" t="s">
        <v>31</v>
      </c>
      <c r="N119" s="4" t="s">
        <v>32</v>
      </c>
      <c r="O119" s="4" t="s">
        <v>33</v>
      </c>
      <c r="P119" s="4" t="s">
        <v>34</v>
      </c>
      <c r="Q119" s="4" t="s">
        <v>22</v>
      </c>
      <c r="R119" s="4" t="s">
        <v>23</v>
      </c>
      <c r="S119" s="4" t="s">
        <v>24</v>
      </c>
      <c r="T119" s="4" t="s">
        <v>25</v>
      </c>
      <c r="U119" s="4" t="s">
        <v>26</v>
      </c>
      <c r="V119" s="4" t="s">
        <v>27</v>
      </c>
      <c r="W119" s="4" t="s">
        <v>28</v>
      </c>
      <c r="X119" s="4" t="s">
        <v>29</v>
      </c>
      <c r="Y119" s="4" t="s">
        <v>30</v>
      </c>
      <c r="Z119" s="4" t="s">
        <v>31</v>
      </c>
      <c r="AA119" s="4" t="s">
        <v>32</v>
      </c>
      <c r="AB119" s="4" t="s">
        <v>33</v>
      </c>
      <c r="AC119" s="4" t="s">
        <v>34</v>
      </c>
    </row>
    <row r="120" spans="1:29" x14ac:dyDescent="0.15">
      <c r="A120" s="5">
        <v>10</v>
      </c>
      <c r="B120" s="3" t="s">
        <v>49</v>
      </c>
      <c r="C120" s="8">
        <v>17391</v>
      </c>
      <c r="D120" s="5">
        <v>19</v>
      </c>
      <c r="E120" s="5">
        <v>9</v>
      </c>
      <c r="F120" s="5">
        <v>4</v>
      </c>
      <c r="G120" s="5">
        <v>6</v>
      </c>
      <c r="H120" s="5">
        <v>23</v>
      </c>
      <c r="I120" s="5">
        <v>19</v>
      </c>
      <c r="J120" s="5">
        <v>4</v>
      </c>
      <c r="K120" s="5">
        <v>31</v>
      </c>
      <c r="L120" s="5">
        <v>1.63</v>
      </c>
      <c r="M120" s="5">
        <v>24.6</v>
      </c>
      <c r="N120" s="5">
        <v>17.5</v>
      </c>
      <c r="O120" s="5">
        <v>7</v>
      </c>
      <c r="P120" s="5">
        <v>0.37</v>
      </c>
      <c r="Q120" s="5">
        <v>19</v>
      </c>
      <c r="R120" s="5">
        <v>3</v>
      </c>
      <c r="S120" s="5">
        <v>6</v>
      </c>
      <c r="T120" s="5">
        <v>10</v>
      </c>
      <c r="U120" s="5">
        <v>13</v>
      </c>
      <c r="V120" s="5">
        <v>27</v>
      </c>
      <c r="W120" s="5">
        <v>-14</v>
      </c>
      <c r="X120" s="5">
        <v>15</v>
      </c>
      <c r="Y120" s="5">
        <v>0.79</v>
      </c>
      <c r="Z120" s="5">
        <v>21.6</v>
      </c>
      <c r="AA120" s="5">
        <v>27.1</v>
      </c>
      <c r="AB120" s="5">
        <v>-5.5</v>
      </c>
      <c r="AC120" s="5">
        <v>-0.28999999999999998</v>
      </c>
    </row>
    <row r="121" spans="1:29" x14ac:dyDescent="0.15">
      <c r="A121" s="5">
        <v>19</v>
      </c>
      <c r="B121" s="3" t="s">
        <v>50</v>
      </c>
      <c r="C121" s="8">
        <v>12893</v>
      </c>
      <c r="D121" s="5">
        <v>19</v>
      </c>
      <c r="E121" s="5">
        <v>1</v>
      </c>
      <c r="F121" s="5">
        <v>8</v>
      </c>
      <c r="G121" s="5">
        <v>10</v>
      </c>
      <c r="H121" s="5">
        <v>22</v>
      </c>
      <c r="I121" s="5">
        <v>36</v>
      </c>
      <c r="J121" s="5">
        <v>-14</v>
      </c>
      <c r="K121" s="5">
        <v>11</v>
      </c>
      <c r="L121" s="5">
        <v>0.57999999999999996</v>
      </c>
      <c r="M121" s="5">
        <v>30</v>
      </c>
      <c r="N121" s="5">
        <v>28.1</v>
      </c>
      <c r="O121" s="5">
        <v>1.9</v>
      </c>
      <c r="P121" s="5">
        <v>0.1</v>
      </c>
      <c r="Q121" s="5">
        <v>19</v>
      </c>
      <c r="R121" s="5">
        <v>2</v>
      </c>
      <c r="S121" s="5">
        <v>4</v>
      </c>
      <c r="T121" s="5">
        <v>13</v>
      </c>
      <c r="U121" s="5">
        <v>21</v>
      </c>
      <c r="V121" s="5">
        <v>39</v>
      </c>
      <c r="W121" s="5">
        <v>-18</v>
      </c>
      <c r="X121" s="5">
        <v>10</v>
      </c>
      <c r="Y121" s="5">
        <v>0.53</v>
      </c>
      <c r="Z121" s="5">
        <v>18.7</v>
      </c>
      <c r="AA121" s="5">
        <v>33.5</v>
      </c>
      <c r="AB121" s="5">
        <v>-14.8</v>
      </c>
      <c r="AC121" s="5">
        <v>-0.78</v>
      </c>
    </row>
    <row r="122" spans="1:29" x14ac:dyDescent="0.15">
      <c r="A122" s="5">
        <v>5</v>
      </c>
      <c r="B122" s="3" t="s">
        <v>51</v>
      </c>
      <c r="C122" s="8">
        <v>46112</v>
      </c>
      <c r="D122" s="5">
        <v>19</v>
      </c>
      <c r="E122" s="5">
        <v>12</v>
      </c>
      <c r="F122" s="5">
        <v>6</v>
      </c>
      <c r="G122" s="5">
        <v>1</v>
      </c>
      <c r="H122" s="5">
        <v>42</v>
      </c>
      <c r="I122" s="5">
        <v>18</v>
      </c>
      <c r="J122" s="5">
        <v>24</v>
      </c>
      <c r="K122" s="5">
        <v>42</v>
      </c>
      <c r="L122" s="5">
        <v>2.21</v>
      </c>
      <c r="M122" s="5">
        <v>34.700000000000003</v>
      </c>
      <c r="N122" s="5">
        <v>18.100000000000001</v>
      </c>
      <c r="O122" s="5">
        <v>16.7</v>
      </c>
      <c r="P122" s="5">
        <v>0.88</v>
      </c>
      <c r="Q122" s="5">
        <v>19</v>
      </c>
      <c r="R122" s="5">
        <v>7</v>
      </c>
      <c r="S122" s="5">
        <v>5</v>
      </c>
      <c r="T122" s="5">
        <v>7</v>
      </c>
      <c r="U122" s="5">
        <v>19</v>
      </c>
      <c r="V122" s="5">
        <v>19</v>
      </c>
      <c r="W122" s="5">
        <v>0</v>
      </c>
      <c r="X122" s="5">
        <v>26</v>
      </c>
      <c r="Y122" s="5">
        <v>1.37</v>
      </c>
      <c r="Z122" s="5">
        <v>18</v>
      </c>
      <c r="AA122" s="5">
        <v>23.2</v>
      </c>
      <c r="AB122" s="5">
        <v>-5.2</v>
      </c>
      <c r="AC122" s="5">
        <v>-0.28000000000000003</v>
      </c>
    </row>
    <row r="123" spans="1:29" x14ac:dyDescent="0.15">
      <c r="A123" s="5">
        <v>4</v>
      </c>
      <c r="B123" s="3" t="s">
        <v>52</v>
      </c>
      <c r="C123" s="8">
        <v>59121</v>
      </c>
      <c r="D123" s="5">
        <v>19</v>
      </c>
      <c r="E123" s="5">
        <v>16</v>
      </c>
      <c r="F123" s="5">
        <v>1</v>
      </c>
      <c r="G123" s="5">
        <v>2</v>
      </c>
      <c r="H123" s="5">
        <v>42</v>
      </c>
      <c r="I123" s="5">
        <v>22</v>
      </c>
      <c r="J123" s="5">
        <v>20</v>
      </c>
      <c r="K123" s="5">
        <v>49</v>
      </c>
      <c r="L123" s="5">
        <v>2.58</v>
      </c>
      <c r="M123" s="5">
        <v>37.5</v>
      </c>
      <c r="N123" s="5">
        <v>19.5</v>
      </c>
      <c r="O123" s="5">
        <v>18</v>
      </c>
      <c r="P123" s="5">
        <v>0.95</v>
      </c>
      <c r="Q123" s="5">
        <v>19</v>
      </c>
      <c r="R123" s="5">
        <v>8</v>
      </c>
      <c r="S123" s="5">
        <v>3</v>
      </c>
      <c r="T123" s="5">
        <v>8</v>
      </c>
      <c r="U123" s="5">
        <v>28</v>
      </c>
      <c r="V123" s="5">
        <v>21</v>
      </c>
      <c r="W123" s="5">
        <v>7</v>
      </c>
      <c r="X123" s="5">
        <v>27</v>
      </c>
      <c r="Y123" s="5">
        <v>1.42</v>
      </c>
      <c r="Z123" s="5">
        <v>24.9</v>
      </c>
      <c r="AA123" s="5">
        <v>20</v>
      </c>
      <c r="AB123" s="5">
        <v>5</v>
      </c>
      <c r="AC123" s="5">
        <v>0.26</v>
      </c>
    </row>
    <row r="124" spans="1:29" x14ac:dyDescent="0.15">
      <c r="A124" s="5">
        <v>2</v>
      </c>
      <c r="B124" s="3" t="s">
        <v>53</v>
      </c>
      <c r="C124" s="8">
        <v>39846</v>
      </c>
      <c r="D124" s="5">
        <v>19</v>
      </c>
      <c r="E124" s="5">
        <v>15</v>
      </c>
      <c r="F124" s="5">
        <v>1</v>
      </c>
      <c r="G124" s="5">
        <v>3</v>
      </c>
      <c r="H124" s="5">
        <v>43</v>
      </c>
      <c r="I124" s="5">
        <v>21</v>
      </c>
      <c r="J124" s="5">
        <v>22</v>
      </c>
      <c r="K124" s="5">
        <v>46</v>
      </c>
      <c r="L124" s="5">
        <v>2.42</v>
      </c>
      <c r="M124" s="5">
        <v>42.6</v>
      </c>
      <c r="N124" s="5">
        <v>22.5</v>
      </c>
      <c r="O124" s="5">
        <v>20.100000000000001</v>
      </c>
      <c r="P124" s="5">
        <v>1.06</v>
      </c>
      <c r="Q124" s="5">
        <v>19</v>
      </c>
      <c r="R124" s="5">
        <v>11</v>
      </c>
      <c r="S124" s="5">
        <v>6</v>
      </c>
      <c r="T124" s="5">
        <v>2</v>
      </c>
      <c r="U124" s="5">
        <v>36</v>
      </c>
      <c r="V124" s="5">
        <v>23</v>
      </c>
      <c r="W124" s="5">
        <v>13</v>
      </c>
      <c r="X124" s="5">
        <v>39</v>
      </c>
      <c r="Y124" s="5">
        <v>2.0499999999999998</v>
      </c>
      <c r="Z124" s="5">
        <v>34.9</v>
      </c>
      <c r="AA124" s="5">
        <v>19.2</v>
      </c>
      <c r="AB124" s="5">
        <v>15.8</v>
      </c>
      <c r="AC124" s="5">
        <v>0.83</v>
      </c>
    </row>
    <row r="125" spans="1:29" x14ac:dyDescent="0.15">
      <c r="A125" s="5">
        <v>7</v>
      </c>
      <c r="B125" s="3" t="s">
        <v>54</v>
      </c>
      <c r="C125" s="8">
        <v>51259</v>
      </c>
      <c r="D125" s="5">
        <v>19</v>
      </c>
      <c r="E125" s="5">
        <v>9</v>
      </c>
      <c r="F125" s="5">
        <v>7</v>
      </c>
      <c r="G125" s="5">
        <v>3</v>
      </c>
      <c r="H125" s="5">
        <v>27</v>
      </c>
      <c r="I125" s="5">
        <v>19</v>
      </c>
      <c r="J125" s="5">
        <v>8</v>
      </c>
      <c r="K125" s="5">
        <v>34</v>
      </c>
      <c r="L125" s="5">
        <v>1.79</v>
      </c>
      <c r="M125" s="5">
        <v>26.1</v>
      </c>
      <c r="N125" s="5">
        <v>18.8</v>
      </c>
      <c r="O125" s="5">
        <v>7.3</v>
      </c>
      <c r="P125" s="5">
        <v>0.38</v>
      </c>
      <c r="Q125" s="5">
        <v>19</v>
      </c>
      <c r="R125" s="5">
        <v>5</v>
      </c>
      <c r="S125" s="5">
        <v>8</v>
      </c>
      <c r="T125" s="5">
        <v>6</v>
      </c>
      <c r="U125" s="5">
        <v>21</v>
      </c>
      <c r="V125" s="5">
        <v>26</v>
      </c>
      <c r="W125" s="5">
        <v>-5</v>
      </c>
      <c r="X125" s="5">
        <v>23</v>
      </c>
      <c r="Y125" s="5">
        <v>1.21</v>
      </c>
      <c r="Z125" s="5">
        <v>17.899999999999999</v>
      </c>
      <c r="AA125" s="5">
        <v>31.5</v>
      </c>
      <c r="AB125" s="5">
        <v>-13.6</v>
      </c>
      <c r="AC125" s="5">
        <v>-0.72</v>
      </c>
    </row>
    <row r="126" spans="1:29" x14ac:dyDescent="0.15">
      <c r="A126" s="5">
        <v>18</v>
      </c>
      <c r="B126" s="3" t="s">
        <v>55</v>
      </c>
      <c r="C126" s="8">
        <v>18016</v>
      </c>
      <c r="D126" s="5">
        <v>19</v>
      </c>
      <c r="E126" s="5">
        <v>5</v>
      </c>
      <c r="F126" s="5">
        <v>9</v>
      </c>
      <c r="G126" s="5">
        <v>5</v>
      </c>
      <c r="H126" s="5">
        <v>16</v>
      </c>
      <c r="I126" s="5">
        <v>19</v>
      </c>
      <c r="J126" s="5">
        <v>-3</v>
      </c>
      <c r="K126" s="5">
        <v>24</v>
      </c>
      <c r="L126" s="5">
        <v>1.26</v>
      </c>
      <c r="M126" s="5">
        <v>20.5</v>
      </c>
      <c r="N126" s="5">
        <v>15.2</v>
      </c>
      <c r="O126" s="5">
        <v>5.2</v>
      </c>
      <c r="P126" s="5">
        <v>0.28000000000000003</v>
      </c>
      <c r="Q126" s="5">
        <v>19</v>
      </c>
      <c r="R126" s="5">
        <v>1</v>
      </c>
      <c r="S126" s="5">
        <v>6</v>
      </c>
      <c r="T126" s="5">
        <v>12</v>
      </c>
      <c r="U126" s="5">
        <v>10</v>
      </c>
      <c r="V126" s="5">
        <v>36</v>
      </c>
      <c r="W126" s="5">
        <v>-26</v>
      </c>
      <c r="X126" s="5">
        <v>9</v>
      </c>
      <c r="Y126" s="5">
        <v>0.47</v>
      </c>
      <c r="Z126" s="5">
        <v>15.5</v>
      </c>
      <c r="AA126" s="5">
        <v>37</v>
      </c>
      <c r="AB126" s="5">
        <v>-21.6</v>
      </c>
      <c r="AC126" s="5">
        <v>-1.1299999999999999</v>
      </c>
    </row>
    <row r="127" spans="1:29" x14ac:dyDescent="0.15">
      <c r="A127" s="5">
        <v>13</v>
      </c>
      <c r="B127" s="3" t="s">
        <v>56</v>
      </c>
      <c r="C127" s="8">
        <v>20039</v>
      </c>
      <c r="D127" s="5">
        <v>19</v>
      </c>
      <c r="E127" s="5">
        <v>6</v>
      </c>
      <c r="F127" s="5">
        <v>6</v>
      </c>
      <c r="G127" s="5">
        <v>7</v>
      </c>
      <c r="H127" s="5">
        <v>21</v>
      </c>
      <c r="I127" s="5">
        <v>23</v>
      </c>
      <c r="J127" s="5">
        <v>-2</v>
      </c>
      <c r="K127" s="5">
        <v>24</v>
      </c>
      <c r="L127" s="5">
        <v>1.26</v>
      </c>
      <c r="M127" s="5">
        <v>30.7</v>
      </c>
      <c r="N127" s="5">
        <v>19</v>
      </c>
      <c r="O127" s="5">
        <v>11.7</v>
      </c>
      <c r="P127" s="5">
        <v>0.62</v>
      </c>
      <c r="Q127" s="5">
        <v>19</v>
      </c>
      <c r="R127" s="5">
        <v>4</v>
      </c>
      <c r="S127" s="5">
        <v>5</v>
      </c>
      <c r="T127" s="5">
        <v>10</v>
      </c>
      <c r="U127" s="5">
        <v>25</v>
      </c>
      <c r="V127" s="5">
        <v>34</v>
      </c>
      <c r="W127" s="5">
        <v>-9</v>
      </c>
      <c r="X127" s="5">
        <v>17</v>
      </c>
      <c r="Y127" s="5">
        <v>0.89</v>
      </c>
      <c r="Z127" s="5">
        <v>20</v>
      </c>
      <c r="AA127" s="5">
        <v>35.6</v>
      </c>
      <c r="AB127" s="5">
        <v>-15.6</v>
      </c>
      <c r="AC127" s="5">
        <v>-0.82</v>
      </c>
    </row>
    <row r="128" spans="1:29" x14ac:dyDescent="0.15">
      <c r="A128" s="5">
        <v>12</v>
      </c>
      <c r="B128" s="3" t="s">
        <v>57</v>
      </c>
      <c r="C128" s="8">
        <v>11456</v>
      </c>
      <c r="D128" s="5">
        <v>19</v>
      </c>
      <c r="E128" s="5">
        <v>8</v>
      </c>
      <c r="F128" s="5">
        <v>5</v>
      </c>
      <c r="G128" s="5">
        <v>6</v>
      </c>
      <c r="H128" s="5">
        <v>20</v>
      </c>
      <c r="I128" s="5">
        <v>22</v>
      </c>
      <c r="J128" s="5">
        <v>-2</v>
      </c>
      <c r="K128" s="5">
        <v>29</v>
      </c>
      <c r="L128" s="5">
        <v>1.53</v>
      </c>
      <c r="M128" s="5">
        <v>25.1</v>
      </c>
      <c r="N128" s="5">
        <v>22.7</v>
      </c>
      <c r="O128" s="5">
        <v>2.4</v>
      </c>
      <c r="P128" s="5">
        <v>0.13</v>
      </c>
      <c r="Q128" s="5">
        <v>19</v>
      </c>
      <c r="R128" s="5">
        <v>2</v>
      </c>
      <c r="S128" s="5">
        <v>8</v>
      </c>
      <c r="T128" s="5">
        <v>9</v>
      </c>
      <c r="U128" s="5">
        <v>22</v>
      </c>
      <c r="V128" s="5">
        <v>32</v>
      </c>
      <c r="W128" s="5">
        <v>-10</v>
      </c>
      <c r="X128" s="5">
        <v>14</v>
      </c>
      <c r="Y128" s="5">
        <v>0.74</v>
      </c>
      <c r="Z128" s="5">
        <v>20.6</v>
      </c>
      <c r="AA128" s="5">
        <v>31.1</v>
      </c>
      <c r="AB128" s="5">
        <v>-10.6</v>
      </c>
      <c r="AC128" s="5">
        <v>-0.56000000000000005</v>
      </c>
    </row>
    <row r="129" spans="1:29" x14ac:dyDescent="0.15">
      <c r="A129" s="5">
        <v>3</v>
      </c>
      <c r="B129" s="3" t="s">
        <v>58</v>
      </c>
      <c r="C129" s="8">
        <v>12520</v>
      </c>
      <c r="D129" s="5">
        <v>19</v>
      </c>
      <c r="E129" s="5">
        <v>15</v>
      </c>
      <c r="F129" s="5">
        <v>2</v>
      </c>
      <c r="G129" s="5">
        <v>2</v>
      </c>
      <c r="H129" s="5">
        <v>53</v>
      </c>
      <c r="I129" s="5">
        <v>20</v>
      </c>
      <c r="J129" s="5">
        <v>33</v>
      </c>
      <c r="K129" s="5">
        <v>47</v>
      </c>
      <c r="L129" s="5">
        <v>2.4700000000000002</v>
      </c>
      <c r="M129" s="5">
        <v>36.5</v>
      </c>
      <c r="N129" s="5">
        <v>20.9</v>
      </c>
      <c r="O129" s="5">
        <v>15.6</v>
      </c>
      <c r="P129" s="5">
        <v>0.82</v>
      </c>
      <c r="Q129" s="5">
        <v>19</v>
      </c>
      <c r="R129" s="5">
        <v>10</v>
      </c>
      <c r="S129" s="5">
        <v>4</v>
      </c>
      <c r="T129" s="5">
        <v>5</v>
      </c>
      <c r="U129" s="5">
        <v>32</v>
      </c>
      <c r="V129" s="5">
        <v>26</v>
      </c>
      <c r="W129" s="5">
        <v>6</v>
      </c>
      <c r="X129" s="5">
        <v>34</v>
      </c>
      <c r="Y129" s="5">
        <v>1.79</v>
      </c>
      <c r="Z129" s="5">
        <v>34.299999999999997</v>
      </c>
      <c r="AA129" s="5">
        <v>33.4</v>
      </c>
      <c r="AB129" s="5">
        <v>0.9</v>
      </c>
      <c r="AC129" s="5">
        <v>0.05</v>
      </c>
    </row>
    <row r="130" spans="1:29" x14ac:dyDescent="0.15">
      <c r="A130" s="5">
        <v>20</v>
      </c>
      <c r="B130" s="3" t="s">
        <v>59</v>
      </c>
      <c r="C130" s="8">
        <v>16350</v>
      </c>
      <c r="D130" s="5">
        <v>19</v>
      </c>
      <c r="E130" s="5">
        <v>4</v>
      </c>
      <c r="F130" s="5">
        <v>6</v>
      </c>
      <c r="G130" s="5">
        <v>9</v>
      </c>
      <c r="H130" s="5">
        <v>24</v>
      </c>
      <c r="I130" s="5">
        <v>32</v>
      </c>
      <c r="J130" s="5">
        <v>-8</v>
      </c>
      <c r="K130" s="5">
        <v>18</v>
      </c>
      <c r="L130" s="5">
        <v>0.95</v>
      </c>
      <c r="M130" s="5">
        <v>27.1</v>
      </c>
      <c r="N130" s="5">
        <v>27.9</v>
      </c>
      <c r="O130" s="5">
        <v>-0.8</v>
      </c>
      <c r="P130" s="5">
        <v>-0.04</v>
      </c>
      <c r="Q130" s="5">
        <v>19</v>
      </c>
      <c r="R130" s="5">
        <v>0</v>
      </c>
      <c r="S130" s="5">
        <v>3</v>
      </c>
      <c r="T130" s="5">
        <v>16</v>
      </c>
      <c r="U130" s="5">
        <v>14</v>
      </c>
      <c r="V130" s="5">
        <v>47</v>
      </c>
      <c r="W130" s="5">
        <v>-33</v>
      </c>
      <c r="X130" s="5">
        <v>3</v>
      </c>
      <c r="Y130" s="5">
        <v>0.16</v>
      </c>
      <c r="Z130" s="5">
        <v>15.5</v>
      </c>
      <c r="AA130" s="5">
        <v>36.299999999999997</v>
      </c>
      <c r="AB130" s="5">
        <v>-20.8</v>
      </c>
      <c r="AC130" s="5">
        <v>-1.1000000000000001</v>
      </c>
    </row>
    <row r="131" spans="1:29" x14ac:dyDescent="0.15">
      <c r="A131" s="5">
        <v>16</v>
      </c>
      <c r="B131" s="3" t="s">
        <v>60</v>
      </c>
      <c r="C131" s="8">
        <v>25041</v>
      </c>
      <c r="D131" s="5">
        <v>19</v>
      </c>
      <c r="E131" s="5">
        <v>6</v>
      </c>
      <c r="F131" s="5">
        <v>6</v>
      </c>
      <c r="G131" s="5">
        <v>7</v>
      </c>
      <c r="H131" s="5">
        <v>20</v>
      </c>
      <c r="I131" s="5">
        <v>20</v>
      </c>
      <c r="J131" s="5">
        <v>0</v>
      </c>
      <c r="K131" s="5">
        <v>24</v>
      </c>
      <c r="L131" s="5">
        <v>1.26</v>
      </c>
      <c r="M131" s="5">
        <v>19.3</v>
      </c>
      <c r="N131" s="5">
        <v>26.7</v>
      </c>
      <c r="O131" s="5">
        <v>-7.4</v>
      </c>
      <c r="P131" s="5">
        <v>-0.39</v>
      </c>
      <c r="Q131" s="5">
        <v>19</v>
      </c>
      <c r="R131" s="5">
        <v>4</v>
      </c>
      <c r="S131" s="5">
        <v>4</v>
      </c>
      <c r="T131" s="5">
        <v>11</v>
      </c>
      <c r="U131" s="5">
        <v>13</v>
      </c>
      <c r="V131" s="5">
        <v>27</v>
      </c>
      <c r="W131" s="5">
        <v>-14</v>
      </c>
      <c r="X131" s="5">
        <v>16</v>
      </c>
      <c r="Y131" s="5">
        <v>0.84</v>
      </c>
      <c r="Z131" s="5">
        <v>13.8</v>
      </c>
      <c r="AA131" s="5">
        <v>29.9</v>
      </c>
      <c r="AB131" s="5">
        <v>-16.100000000000001</v>
      </c>
      <c r="AC131" s="5">
        <v>-0.85</v>
      </c>
    </row>
    <row r="132" spans="1:29" x14ac:dyDescent="0.15">
      <c r="A132" s="5">
        <v>15</v>
      </c>
      <c r="B132" s="3" t="s">
        <v>61</v>
      </c>
      <c r="C132" s="8">
        <v>17767</v>
      </c>
      <c r="D132" s="5">
        <v>19</v>
      </c>
      <c r="E132" s="5">
        <v>6</v>
      </c>
      <c r="F132" s="5">
        <v>8</v>
      </c>
      <c r="G132" s="5">
        <v>5</v>
      </c>
      <c r="H132" s="5">
        <v>17</v>
      </c>
      <c r="I132" s="5">
        <v>16</v>
      </c>
      <c r="J132" s="5">
        <v>1</v>
      </c>
      <c r="K132" s="5">
        <v>26</v>
      </c>
      <c r="L132" s="5">
        <v>1.37</v>
      </c>
      <c r="M132" s="5">
        <v>17.8</v>
      </c>
      <c r="N132" s="5">
        <v>16.2</v>
      </c>
      <c r="O132" s="5">
        <v>1.6</v>
      </c>
      <c r="P132" s="5">
        <v>0.08</v>
      </c>
      <c r="Q132" s="5">
        <v>19</v>
      </c>
      <c r="R132" s="5">
        <v>2</v>
      </c>
      <c r="S132" s="5">
        <v>8</v>
      </c>
      <c r="T132" s="5">
        <v>9</v>
      </c>
      <c r="U132" s="5">
        <v>16</v>
      </c>
      <c r="V132" s="5">
        <v>28</v>
      </c>
      <c r="W132" s="5">
        <v>-12</v>
      </c>
      <c r="X132" s="5">
        <v>14</v>
      </c>
      <c r="Y132" s="5">
        <v>0.74</v>
      </c>
      <c r="Z132" s="5">
        <v>22.6</v>
      </c>
      <c r="AA132" s="5">
        <v>26.7</v>
      </c>
      <c r="AB132" s="5">
        <v>-4</v>
      </c>
      <c r="AC132" s="5">
        <v>-0.21</v>
      </c>
    </row>
    <row r="133" spans="1:29" x14ac:dyDescent="0.15">
      <c r="A133" s="5">
        <v>11</v>
      </c>
      <c r="B133" s="3" t="s">
        <v>62</v>
      </c>
      <c r="C133" s="8">
        <v>19703</v>
      </c>
      <c r="D133" s="5">
        <v>19</v>
      </c>
      <c r="E133" s="5">
        <v>6</v>
      </c>
      <c r="F133" s="5">
        <v>5</v>
      </c>
      <c r="G133" s="5">
        <v>8</v>
      </c>
      <c r="H133" s="5">
        <v>19</v>
      </c>
      <c r="I133" s="5">
        <v>26</v>
      </c>
      <c r="J133" s="5">
        <v>-7</v>
      </c>
      <c r="K133" s="5">
        <v>23</v>
      </c>
      <c r="L133" s="5">
        <v>1.21</v>
      </c>
      <c r="M133" s="5">
        <v>22</v>
      </c>
      <c r="N133" s="5">
        <v>22.6</v>
      </c>
      <c r="O133" s="5">
        <v>-0.6</v>
      </c>
      <c r="P133" s="5">
        <v>-0.03</v>
      </c>
      <c r="Q133" s="5">
        <v>19</v>
      </c>
      <c r="R133" s="5">
        <v>6</v>
      </c>
      <c r="S133" s="5">
        <v>4</v>
      </c>
      <c r="T133" s="5">
        <v>9</v>
      </c>
      <c r="U133" s="5">
        <v>26</v>
      </c>
      <c r="V133" s="5">
        <v>30</v>
      </c>
      <c r="W133" s="5">
        <v>-4</v>
      </c>
      <c r="X133" s="5">
        <v>22</v>
      </c>
      <c r="Y133" s="5">
        <v>1.1599999999999999</v>
      </c>
      <c r="Z133" s="5">
        <v>18.5</v>
      </c>
      <c r="AA133" s="5">
        <v>27.3</v>
      </c>
      <c r="AB133" s="5">
        <v>-8.8000000000000007</v>
      </c>
      <c r="AC133" s="5">
        <v>-0.46</v>
      </c>
    </row>
    <row r="134" spans="1:29" x14ac:dyDescent="0.15">
      <c r="A134" s="5">
        <v>17</v>
      </c>
      <c r="B134" s="3" t="s">
        <v>63</v>
      </c>
      <c r="C134" s="8">
        <v>12749</v>
      </c>
      <c r="D134" s="5">
        <v>19</v>
      </c>
      <c r="E134" s="5">
        <v>4</v>
      </c>
      <c r="F134" s="5">
        <v>8</v>
      </c>
      <c r="G134" s="5">
        <v>7</v>
      </c>
      <c r="H134" s="5">
        <v>18</v>
      </c>
      <c r="I134" s="5">
        <v>26</v>
      </c>
      <c r="J134" s="5">
        <v>-8</v>
      </c>
      <c r="K134" s="5">
        <v>20</v>
      </c>
      <c r="L134" s="5">
        <v>1.05</v>
      </c>
      <c r="M134" s="5">
        <v>24</v>
      </c>
      <c r="N134" s="5">
        <v>23.3</v>
      </c>
      <c r="O134" s="5">
        <v>0.6</v>
      </c>
      <c r="P134" s="5">
        <v>0.03</v>
      </c>
      <c r="Q134" s="5">
        <v>19</v>
      </c>
      <c r="R134" s="5">
        <v>4</v>
      </c>
      <c r="S134" s="5">
        <v>6</v>
      </c>
      <c r="T134" s="5">
        <v>9</v>
      </c>
      <c r="U134" s="5">
        <v>11</v>
      </c>
      <c r="V134" s="5">
        <v>22</v>
      </c>
      <c r="W134" s="5">
        <v>-11</v>
      </c>
      <c r="X134" s="5">
        <v>18</v>
      </c>
      <c r="Y134" s="5">
        <v>0.95</v>
      </c>
      <c r="Z134" s="5">
        <v>18.399999999999999</v>
      </c>
      <c r="AA134" s="5">
        <v>21.3</v>
      </c>
      <c r="AB134" s="5">
        <v>-2.9</v>
      </c>
      <c r="AC134" s="5">
        <v>-0.15</v>
      </c>
    </row>
    <row r="135" spans="1:29" x14ac:dyDescent="0.15">
      <c r="A135" s="5">
        <v>1</v>
      </c>
      <c r="B135" s="3" t="s">
        <v>64</v>
      </c>
      <c r="C135" s="8">
        <v>72061</v>
      </c>
      <c r="D135" s="5">
        <v>19</v>
      </c>
      <c r="E135" s="5">
        <v>16</v>
      </c>
      <c r="F135" s="5">
        <v>3</v>
      </c>
      <c r="G135" s="5">
        <v>0</v>
      </c>
      <c r="H135" s="5">
        <v>48</v>
      </c>
      <c r="I135" s="5">
        <v>9</v>
      </c>
      <c r="J135" s="5">
        <v>39</v>
      </c>
      <c r="K135" s="5">
        <v>51</v>
      </c>
      <c r="L135" s="5">
        <v>2.68</v>
      </c>
      <c r="M135" s="5">
        <v>40.299999999999997</v>
      </c>
      <c r="N135" s="5">
        <v>14.9</v>
      </c>
      <c r="O135" s="5">
        <v>25.4</v>
      </c>
      <c r="P135" s="5">
        <v>1.33</v>
      </c>
      <c r="Q135" s="5">
        <v>19</v>
      </c>
      <c r="R135" s="5">
        <v>13</v>
      </c>
      <c r="S135" s="5">
        <v>5</v>
      </c>
      <c r="T135" s="5">
        <v>1</v>
      </c>
      <c r="U135" s="5">
        <v>39</v>
      </c>
      <c r="V135" s="5">
        <v>17</v>
      </c>
      <c r="W135" s="5">
        <v>22</v>
      </c>
      <c r="X135" s="5">
        <v>44</v>
      </c>
      <c r="Y135" s="5">
        <v>2.3199999999999998</v>
      </c>
      <c r="Z135" s="5">
        <v>28.6</v>
      </c>
      <c r="AA135" s="5">
        <v>20.5</v>
      </c>
      <c r="AB135" s="5">
        <v>8</v>
      </c>
      <c r="AC135" s="5">
        <v>0.42</v>
      </c>
    </row>
    <row r="136" spans="1:29" x14ac:dyDescent="0.15">
      <c r="A136" s="5">
        <v>6</v>
      </c>
      <c r="B136" s="3" t="s">
        <v>65</v>
      </c>
      <c r="C136" s="8">
        <v>31710</v>
      </c>
      <c r="D136" s="5">
        <v>19</v>
      </c>
      <c r="E136" s="5">
        <v>8</v>
      </c>
      <c r="F136" s="5">
        <v>6</v>
      </c>
      <c r="G136" s="5">
        <v>5</v>
      </c>
      <c r="H136" s="5">
        <v>26</v>
      </c>
      <c r="I136" s="5">
        <v>20</v>
      </c>
      <c r="J136" s="5">
        <v>6</v>
      </c>
      <c r="K136" s="5">
        <v>30</v>
      </c>
      <c r="L136" s="5">
        <v>1.58</v>
      </c>
      <c r="M136" s="5">
        <v>22.4</v>
      </c>
      <c r="N136" s="5">
        <v>19.5</v>
      </c>
      <c r="O136" s="5">
        <v>2.9</v>
      </c>
      <c r="P136" s="5">
        <v>0.15</v>
      </c>
      <c r="Q136" s="5">
        <v>19</v>
      </c>
      <c r="R136" s="5">
        <v>8</v>
      </c>
      <c r="S136" s="5">
        <v>6</v>
      </c>
      <c r="T136" s="5">
        <v>5</v>
      </c>
      <c r="U136" s="5">
        <v>25</v>
      </c>
      <c r="V136" s="5">
        <v>19</v>
      </c>
      <c r="W136" s="5">
        <v>6</v>
      </c>
      <c r="X136" s="5">
        <v>30</v>
      </c>
      <c r="Y136" s="5">
        <v>1.58</v>
      </c>
      <c r="Z136" s="5">
        <v>22.5</v>
      </c>
      <c r="AA136" s="5">
        <v>21.8</v>
      </c>
      <c r="AB136" s="5">
        <v>0.7</v>
      </c>
      <c r="AC136" s="5">
        <v>0.04</v>
      </c>
    </row>
    <row r="137" spans="1:29" x14ac:dyDescent="0.15">
      <c r="A137" s="5">
        <v>14</v>
      </c>
      <c r="B137" s="3" t="s">
        <v>66</v>
      </c>
      <c r="C137" s="8">
        <v>34984</v>
      </c>
      <c r="D137" s="5">
        <v>19</v>
      </c>
      <c r="E137" s="5">
        <v>6</v>
      </c>
      <c r="F137" s="5">
        <v>5</v>
      </c>
      <c r="G137" s="5">
        <v>8</v>
      </c>
      <c r="H137" s="5">
        <v>27</v>
      </c>
      <c r="I137" s="5">
        <v>27</v>
      </c>
      <c r="J137" s="5">
        <v>0</v>
      </c>
      <c r="K137" s="5">
        <v>23</v>
      </c>
      <c r="L137" s="5">
        <v>1.21</v>
      </c>
      <c r="M137" s="5">
        <v>26.2</v>
      </c>
      <c r="N137" s="5">
        <v>27.8</v>
      </c>
      <c r="O137" s="5">
        <v>-1.5</v>
      </c>
      <c r="P137" s="5">
        <v>-0.08</v>
      </c>
      <c r="Q137" s="5">
        <v>19</v>
      </c>
      <c r="R137" s="5">
        <v>4</v>
      </c>
      <c r="S137" s="5">
        <v>6</v>
      </c>
      <c r="T137" s="5">
        <v>9</v>
      </c>
      <c r="U137" s="5">
        <v>21</v>
      </c>
      <c r="V137" s="5">
        <v>27</v>
      </c>
      <c r="W137" s="5">
        <v>-6</v>
      </c>
      <c r="X137" s="5">
        <v>18</v>
      </c>
      <c r="Y137" s="5">
        <v>0.95</v>
      </c>
      <c r="Z137" s="5">
        <v>18.7</v>
      </c>
      <c r="AA137" s="5">
        <v>28.1</v>
      </c>
      <c r="AB137" s="5">
        <v>-9.5</v>
      </c>
      <c r="AC137" s="5">
        <v>-0.5</v>
      </c>
    </row>
    <row r="138" spans="1:29" x14ac:dyDescent="0.15">
      <c r="A138" s="5">
        <v>9</v>
      </c>
      <c r="B138" s="3" t="s">
        <v>67</v>
      </c>
      <c r="C138" s="8">
        <v>43420</v>
      </c>
      <c r="D138" s="5">
        <v>19</v>
      </c>
      <c r="E138" s="5">
        <v>8</v>
      </c>
      <c r="F138" s="5">
        <v>6</v>
      </c>
      <c r="G138" s="5">
        <v>5</v>
      </c>
      <c r="H138" s="5">
        <v>20</v>
      </c>
      <c r="I138" s="5">
        <v>14</v>
      </c>
      <c r="J138" s="5">
        <v>6</v>
      </c>
      <c r="K138" s="5">
        <v>30</v>
      </c>
      <c r="L138" s="5">
        <v>1.58</v>
      </c>
      <c r="M138" s="5">
        <v>24.8</v>
      </c>
      <c r="N138" s="5">
        <v>20.2</v>
      </c>
      <c r="O138" s="5">
        <v>4.5999999999999996</v>
      </c>
      <c r="P138" s="5">
        <v>0.24</v>
      </c>
      <c r="Q138" s="5">
        <v>19</v>
      </c>
      <c r="R138" s="5">
        <v>5</v>
      </c>
      <c r="S138" s="5">
        <v>4</v>
      </c>
      <c r="T138" s="5">
        <v>10</v>
      </c>
      <c r="U138" s="5">
        <v>20</v>
      </c>
      <c r="V138" s="5">
        <v>31</v>
      </c>
      <c r="W138" s="5">
        <v>-11</v>
      </c>
      <c r="X138" s="5">
        <v>19</v>
      </c>
      <c r="Y138" s="5">
        <v>1</v>
      </c>
      <c r="Z138" s="5">
        <v>18.399999999999999</v>
      </c>
      <c r="AA138" s="5">
        <v>27.4</v>
      </c>
      <c r="AB138" s="5">
        <v>-9.1</v>
      </c>
      <c r="AC138" s="5">
        <v>-0.48</v>
      </c>
    </row>
    <row r="139" spans="1:29" x14ac:dyDescent="0.15">
      <c r="A139" s="5">
        <v>8</v>
      </c>
      <c r="B139" s="3" t="s">
        <v>68</v>
      </c>
      <c r="C139" s="8">
        <v>17957</v>
      </c>
      <c r="D139" s="5">
        <v>19</v>
      </c>
      <c r="E139" s="5">
        <v>7</v>
      </c>
      <c r="F139" s="5">
        <v>5</v>
      </c>
      <c r="G139" s="5">
        <v>7</v>
      </c>
      <c r="H139" s="5">
        <v>36</v>
      </c>
      <c r="I139" s="5">
        <v>32</v>
      </c>
      <c r="J139" s="5">
        <v>4</v>
      </c>
      <c r="K139" s="5">
        <v>26</v>
      </c>
      <c r="L139" s="5">
        <v>1.37</v>
      </c>
      <c r="M139" s="5">
        <v>32.5</v>
      </c>
      <c r="N139" s="5">
        <v>25.1</v>
      </c>
      <c r="O139" s="5">
        <v>7.4</v>
      </c>
      <c r="P139" s="5">
        <v>0.39</v>
      </c>
      <c r="Q139" s="5">
        <v>19</v>
      </c>
      <c r="R139" s="5">
        <v>7</v>
      </c>
      <c r="S139" s="5">
        <v>6</v>
      </c>
      <c r="T139" s="5">
        <v>6</v>
      </c>
      <c r="U139" s="5">
        <v>29</v>
      </c>
      <c r="V139" s="5">
        <v>33</v>
      </c>
      <c r="W139" s="5">
        <v>-4</v>
      </c>
      <c r="X139" s="5">
        <v>27</v>
      </c>
      <c r="Y139" s="5">
        <v>1.42</v>
      </c>
      <c r="Z139" s="5">
        <v>23.1</v>
      </c>
      <c r="AA139" s="5">
        <v>33.6</v>
      </c>
      <c r="AB139" s="5">
        <v>-10.5</v>
      </c>
      <c r="AC139" s="5">
        <v>-0.55000000000000004</v>
      </c>
    </row>
  </sheetData>
  <mergeCells count="24">
    <mergeCell ref="D2:P2"/>
    <mergeCell ref="Q2:AC2"/>
    <mergeCell ref="C2:C3"/>
    <mergeCell ref="A2:A3"/>
    <mergeCell ref="C48:C49"/>
    <mergeCell ref="D48:P48"/>
    <mergeCell ref="Q48:AC48"/>
    <mergeCell ref="A48:A49"/>
    <mergeCell ref="D25:P25"/>
    <mergeCell ref="Q25:AC25"/>
    <mergeCell ref="A25:A26"/>
    <mergeCell ref="C25:C26"/>
    <mergeCell ref="D118:P118"/>
    <mergeCell ref="Q118:AC118"/>
    <mergeCell ref="A95:A96"/>
    <mergeCell ref="C72:C73"/>
    <mergeCell ref="A118:A119"/>
    <mergeCell ref="C118:C119"/>
    <mergeCell ref="C95:C96"/>
    <mergeCell ref="D95:P95"/>
    <mergeCell ref="Q95:AC95"/>
    <mergeCell ref="A72:A73"/>
    <mergeCell ref="D72:P72"/>
    <mergeCell ref="Q72:AC72"/>
  </mergeCells>
  <hyperlinks>
    <hyperlink ref="B4" r:id="rId1" display="https://fbref.com/en/squads/18bb7c10/2018-2019/Arsenal-Stats" xr:uid="{98FCA962-F123-2545-BF28-5E1BEC84A2BB}"/>
    <hyperlink ref="B5" r:id="rId2" display="https://fbref.com/en/squads/4ba7cbea/2018-2019/Bournemouth-Stats" xr:uid="{4064514A-0DD3-2440-8F68-773F413EF126}"/>
    <hyperlink ref="B6" r:id="rId3" display="https://fbref.com/en/squads/d07537b9/2018-2019/Brighton-and-Hove-Albion-Stats" xr:uid="{0C9E15A5-1465-BE4D-93BB-984E6A9DE990}"/>
    <hyperlink ref="B7" r:id="rId4" display="https://fbref.com/en/squads/943e8050/2018-2019/Burnley-Stats" xr:uid="{D02D55EC-F46B-A34C-ACE2-3DEF15C34344}"/>
    <hyperlink ref="B8" r:id="rId5" display="https://fbref.com/en/squads/75fae011/2018-2019/Cardiff-City-Stats" xr:uid="{4BE0E824-F2D4-9D49-A3A3-20210346A2C1}"/>
    <hyperlink ref="B9" r:id="rId6" display="https://fbref.com/en/squads/cff3d9bb/2018-2019/Chelsea-Stats" xr:uid="{3E2BD232-EC3C-EE4E-A80E-5E204BCD765E}"/>
    <hyperlink ref="B10" r:id="rId7" display="https://fbref.com/en/squads/47c64c55/2018-2019/Crystal-Palace-Stats" xr:uid="{1CD71D55-7D16-714D-9B25-A6836E694F9E}"/>
    <hyperlink ref="B11" r:id="rId8" display="https://fbref.com/en/squads/d3fd31cc/2018-2019/Everton-Stats" xr:uid="{5EB7E7B0-2D7F-6346-9042-8BE98E3BA541}"/>
    <hyperlink ref="B12" r:id="rId9" display="https://fbref.com/en/squads/fd962109/2018-2019/Fulham-Stats" xr:uid="{1AD6F545-D56C-0945-9739-E4BDA9390892}"/>
    <hyperlink ref="B13" r:id="rId10" display="https://fbref.com/en/squads/f5922ca5/2018-2019/Huddersfield-Town-Stats" xr:uid="{6BCBD1D9-DDA2-4D47-94C8-923AB1266EFD}"/>
    <hyperlink ref="B14" r:id="rId11" display="https://fbref.com/en/squads/a2d435b3/2018-2019/Leicester-City-Stats" xr:uid="{F789253E-4CB4-4B4B-A223-CA52D4CFC913}"/>
    <hyperlink ref="B15" r:id="rId12" display="https://fbref.com/en/squads/822bd0ba/2018-2019/Liverpool-Stats" xr:uid="{BBA4D581-9AFD-4944-8410-C2EC5A4415A7}"/>
    <hyperlink ref="B16" r:id="rId13" display="https://fbref.com/en/squads/b8fd03ef/2018-2019/Manchester-City-Stats" xr:uid="{D1DC45B0-A3E7-6D41-B5F2-88818D4165A3}"/>
    <hyperlink ref="B17" r:id="rId14" display="https://fbref.com/en/squads/19538871/2018-2019/Manchester-United-Stats" xr:uid="{9057376F-C186-0844-94A7-8F39A6BD02F8}"/>
    <hyperlink ref="B18" r:id="rId15" display="https://fbref.com/en/squads/b2b47a98/2018-2019/Newcastle-United-Stats" xr:uid="{FE800573-4F39-D140-8F85-74DAA7BF5E06}"/>
    <hyperlink ref="B19" r:id="rId16" display="https://fbref.com/en/squads/33c895d4/2018-2019/Southampton-Stats" xr:uid="{C329EC9B-90DD-F94D-8CE6-E3A22EEB3578}"/>
    <hyperlink ref="B20" r:id="rId17" display="https://fbref.com/en/squads/361ca564/2018-2019/Tottenham-Hotspur-Stats" xr:uid="{F39BCE42-4F89-FC42-B223-E0444A270323}"/>
    <hyperlink ref="B21" r:id="rId18" display="https://fbref.com/en/squads/2abfe087/2018-2019/Watford-Stats" xr:uid="{2BE660D5-596B-914A-9859-2E746BDB06E5}"/>
    <hyperlink ref="B22" r:id="rId19" display="https://fbref.com/en/squads/7c21e445/2018-2019/West-Ham-United-Stats" xr:uid="{4860F60B-70D5-5C46-9C32-8A6DD82DBD10}"/>
    <hyperlink ref="B23" r:id="rId20" display="https://fbref.com/en/squads/8cec06e1/2018-2019/Wolverhampton-Wanderers-Stats" xr:uid="{9D5B52DF-317F-2646-86A8-E381E068BE37}"/>
    <hyperlink ref="B27" r:id="rId21" display="https://fbref.com/en/squads/18bb7c10/2020-2021/Arsenal-Stats" xr:uid="{DD63E005-5562-874E-AA2F-2BC260C8E9C6}"/>
    <hyperlink ref="B28" r:id="rId22" display="https://fbref.com/en/squads/8602292d/2020-2021/Aston-Villa-Stats" xr:uid="{6C2204CF-D095-A649-9B4B-E6AE7F788A32}"/>
    <hyperlink ref="B29" r:id="rId23" display="https://fbref.com/en/squads/d07537b9/2020-2021/Brighton-and-Hove-Albion-Stats" xr:uid="{883071AC-43C3-E645-98C6-A9C1914CC9CA}"/>
    <hyperlink ref="B30" r:id="rId24" display="https://fbref.com/en/squads/943e8050/2020-2021/Burnley-Stats" xr:uid="{4C61FB24-16A9-F041-AE8D-BC3D42700E2B}"/>
    <hyperlink ref="B31" r:id="rId25" display="https://fbref.com/en/squads/cff3d9bb/2020-2021/Chelsea-Stats" xr:uid="{0BB0B6CF-D58C-864C-AC37-63AEBBB37CB7}"/>
    <hyperlink ref="B32" r:id="rId26" display="https://fbref.com/en/squads/47c64c55/2020-2021/Crystal-Palace-Stats" xr:uid="{7C8E7FEC-B371-6947-8A2F-14346F30D3E7}"/>
    <hyperlink ref="B33" r:id="rId27" display="https://fbref.com/en/squads/d3fd31cc/2020-2021/Everton-Stats" xr:uid="{2CAB00C4-C6E5-384E-AC7F-EC097ABDF493}"/>
    <hyperlink ref="B34" r:id="rId28" display="https://fbref.com/en/squads/fd962109/2020-2021/Fulham-Stats" xr:uid="{597A8A32-A842-9A4E-A261-C822A6086805}"/>
    <hyperlink ref="B35" r:id="rId29" display="https://fbref.com/en/squads/5bfb9659/2020-2021/Leeds-United-Stats" xr:uid="{BCC0E44D-7647-D947-AC8C-52895765981D}"/>
    <hyperlink ref="B36" r:id="rId30" display="https://fbref.com/en/squads/a2d435b3/2020-2021/Leicester-City-Stats" xr:uid="{CCD7499B-015C-6346-AE08-3F1D16ACA80E}"/>
    <hyperlink ref="B37" r:id="rId31" display="https://fbref.com/en/squads/822bd0ba/2020-2021/Liverpool-Stats" xr:uid="{9FC402D1-0485-6044-8B29-77729087D3D9}"/>
    <hyperlink ref="B38" r:id="rId32" display="https://fbref.com/en/squads/b8fd03ef/2020-2021/Manchester-City-Stats" xr:uid="{54A26B88-72AB-E946-ABEA-54A50D2D94CE}"/>
    <hyperlink ref="B39" r:id="rId33" display="https://fbref.com/en/squads/19538871/2020-2021/Manchester-United-Stats" xr:uid="{4E50FE2F-C6B8-1041-92BF-263C439E7252}"/>
    <hyperlink ref="B40" r:id="rId34" display="https://fbref.com/en/squads/b2b47a98/2020-2021/Newcastle-United-Stats" xr:uid="{56F2A253-FE86-B747-ACA6-2D13986E9D2C}"/>
    <hyperlink ref="B41" r:id="rId35" display="https://fbref.com/en/squads/1df6b87e/2020-2021/Sheffield-United-Stats" xr:uid="{5375F682-9107-A745-BDC4-956473C9BF8C}"/>
    <hyperlink ref="B42" r:id="rId36" display="https://fbref.com/en/squads/33c895d4/2020-2021/Southampton-Stats" xr:uid="{CFB1AE3C-31CC-694C-8CBC-E7D96B17477F}"/>
    <hyperlink ref="B43" r:id="rId37" display="https://fbref.com/en/squads/361ca564/2020-2021/Tottenham-Hotspur-Stats" xr:uid="{0C489A7D-C387-AD45-8F58-33771E5D0AE9}"/>
    <hyperlink ref="B44" r:id="rId38" display="https://fbref.com/en/squads/60c6b05f/2020-2021/West-Bromwich-Albion-Stats" xr:uid="{ACBADDB5-1E46-5A42-AD37-E3943AF7AF19}"/>
    <hyperlink ref="B45" r:id="rId39" display="https://fbref.com/en/squads/7c21e445/2020-2021/West-Ham-United-Stats" xr:uid="{8BB98AB4-A517-BD42-AA8B-64EE75677BF8}"/>
    <hyperlink ref="B46" r:id="rId40" display="https://fbref.com/en/squads/8cec06e1/2020-2021/Wolverhampton-Wanderers-Stats" xr:uid="{EC833977-B094-CE41-9D6F-192B748841C2}"/>
    <hyperlink ref="B50" r:id="rId41" display="https://fbref.com/en/squads/18bb7c10/2023-2024/Arsenal-Stats" xr:uid="{EBE9E6B3-78F5-AD41-BAC7-194AF30ED2B5}"/>
    <hyperlink ref="B51" r:id="rId42" display="https://fbref.com/en/squads/8602292d/2023-2024/Aston-Villa-Stats" xr:uid="{052D65D4-D4AC-744D-8C5C-E4D4F68F0F01}"/>
    <hyperlink ref="B52" r:id="rId43" display="https://fbref.com/en/squads/4ba7cbea/2023-2024/Bournemouth-Stats" xr:uid="{720BEB34-2BA5-EE4E-8CFF-FED73305C51F}"/>
    <hyperlink ref="B53" r:id="rId44" display="https://fbref.com/en/squads/cd051869/2023-2024/Brentford-Stats" xr:uid="{DB21FCB6-295F-B145-974E-141A00748795}"/>
    <hyperlink ref="B54" r:id="rId45" display="https://fbref.com/en/squads/d07537b9/2023-2024/Brighton-and-Hove-Albion-Stats" xr:uid="{AAFFAE1F-05AD-5F49-957B-317B7A76FE2F}"/>
    <hyperlink ref="B55" r:id="rId46" display="https://fbref.com/en/squads/943e8050/2023-2024/Burnley-Stats" xr:uid="{E1C30EB7-A7E4-254A-9261-E6E15E6CED0E}"/>
    <hyperlink ref="B56" r:id="rId47" display="https://fbref.com/en/squads/cff3d9bb/2023-2024/Chelsea-Stats" xr:uid="{CA49F7AB-E4EB-C94E-BBDF-85F7DD2D9A75}"/>
    <hyperlink ref="B57" r:id="rId48" display="https://fbref.com/en/squads/47c64c55/2023-2024/Crystal-Palace-Stats" xr:uid="{1F1F87DF-06A6-304C-A7B9-D52E1760281D}"/>
    <hyperlink ref="B58" r:id="rId49" display="https://fbref.com/en/squads/d3fd31cc/2023-2024/Everton-Stats" xr:uid="{5C98A65E-0C08-4541-9416-C66F8143BD7C}"/>
    <hyperlink ref="B59" r:id="rId50" display="https://fbref.com/en/squads/fd962109/2023-2024/Fulham-Stats" xr:uid="{0570B50C-1633-BE4F-BF0F-CD5990EB4BF8}"/>
    <hyperlink ref="B60" r:id="rId51" display="https://fbref.com/en/squads/822bd0ba/2023-2024/Liverpool-Stats" xr:uid="{3B931360-B7E8-854F-9808-71023E8E5289}"/>
    <hyperlink ref="B61" r:id="rId52" display="https://fbref.com/en/squads/e297cd13/2023-2024/Luton-Town-Stats" xr:uid="{3743F6FC-8F92-5941-B0A1-0ACF497BCB7E}"/>
    <hyperlink ref="B62" r:id="rId53" display="https://fbref.com/en/squads/b8fd03ef/2023-2024/Manchester-City-Stats" xr:uid="{F086CEC2-C796-784B-B0DD-DE67B439D99F}"/>
    <hyperlink ref="B63" r:id="rId54" display="https://fbref.com/en/squads/19538871/2023-2024/Manchester-United-Stats" xr:uid="{BCC95322-33AE-954A-9839-9349A489155E}"/>
    <hyperlink ref="B64" r:id="rId55" display="https://fbref.com/en/squads/b2b47a98/2023-2024/Newcastle-United-Stats" xr:uid="{BEF1D96C-F559-A14D-868A-FE43A56A3DCD}"/>
    <hyperlink ref="B65" r:id="rId56" display="https://fbref.com/en/squads/e4a775cb/2023-2024/Nottingham-Forest-Stats" xr:uid="{ED2622A7-8533-7B44-A229-61A7141D8D2E}"/>
    <hyperlink ref="B66" r:id="rId57" display="https://fbref.com/en/squads/1df6b87e/2023-2024/Sheffield-United-Stats" xr:uid="{8C25B93C-3503-F240-A30B-9714FB1D0F5F}"/>
    <hyperlink ref="B67" r:id="rId58" display="https://fbref.com/en/squads/361ca564/2023-2024/Tottenham-Hotspur-Stats" xr:uid="{14D5FD46-FA21-B54F-8AFB-A8AC7BDB0A9B}"/>
    <hyperlink ref="B68" r:id="rId59" display="https://fbref.com/en/squads/7c21e445/2023-2024/West-Ham-United-Stats" xr:uid="{D75C097B-6639-844A-B1CD-632ED1C0D968}"/>
    <hyperlink ref="B69" r:id="rId60" display="https://fbref.com/en/squads/8cec06e1/2023-2024/Wolverhampton-Wanderers-Stats" xr:uid="{2059A13B-D1CC-1A4A-B929-7A16C75C5201}"/>
    <hyperlink ref="B120" r:id="rId61" display="https://fbref.com/en/squads/8d6fd021/2023-2024/Alaves-Stats" xr:uid="{71872D68-2917-D24B-9A72-EF2A5A89C7E6}"/>
    <hyperlink ref="B121" r:id="rId62" display="https://fbref.com/en/squads/78ecf4bb/2023-2024/Almeria-Stats" xr:uid="{C7DEA300-C323-BF49-A2BD-326C1A07ED33}"/>
    <hyperlink ref="B122" r:id="rId63" display="https://fbref.com/en/squads/2b390eca/2023-2024/Athletic-Club-Stats" xr:uid="{8D6DD693-7633-164F-A3F1-431A97968AC7}"/>
    <hyperlink ref="B123" r:id="rId64" display="https://fbref.com/en/squads/db3b9613/2023-2024/Atletico-Madrid-Stats" xr:uid="{ACA4CD9E-B4D1-3A48-8A5E-F1F30F3EAE75}"/>
    <hyperlink ref="B124" r:id="rId65" display="https://fbref.com/en/squads/206d90db/2023-2024/Barcelona-Stats" xr:uid="{6D3377C4-A2B0-914E-86E3-3AEF895E75A3}"/>
    <hyperlink ref="B125" r:id="rId66" display="https://fbref.com/en/squads/fc536746/2023-2024/Real-Betis-Stats" xr:uid="{AD70F15F-C08F-AA44-AC17-A69BFB1D05E6}"/>
    <hyperlink ref="B126" r:id="rId67" display="https://fbref.com/en/squads/ee7c297c/2023-2024/Cadiz-Stats" xr:uid="{C85B9A94-694E-3F49-83D2-B29E27BD087A}"/>
    <hyperlink ref="B127" r:id="rId68" display="https://fbref.com/en/squads/f25da7fb/2023-2024/Celta-Vigo-Stats" xr:uid="{FE9E57ED-6760-464A-96F8-41684EEC0028}"/>
    <hyperlink ref="B128" r:id="rId69" display="https://fbref.com/en/squads/7848bd64/2023-2024/Getafe-Stats" xr:uid="{8DC59C54-BAEB-6849-BF3C-B544BA790F11}"/>
    <hyperlink ref="B129" r:id="rId70" display="https://fbref.com/en/squads/9024a00a/2023-2024/Girona-Stats" xr:uid="{4236CCAA-FAD0-8E49-81D7-9BE4720AC98E}"/>
    <hyperlink ref="B130" r:id="rId71" display="https://fbref.com/en/squads/a0435291/2023-2024/Granada-Stats" xr:uid="{DBB88E2C-44E2-3043-8285-EE975C410AD5}"/>
    <hyperlink ref="B131" r:id="rId72" display="https://fbref.com/en/squads/0049d422/2023-2024/Las-Palmas-Stats" xr:uid="{EC8BE1B5-EC30-624B-88B3-30134EDF2733}"/>
    <hyperlink ref="B132" r:id="rId73" display="https://fbref.com/en/squads/2aa12281/2023-2024/Mallorca-Stats" xr:uid="{CE8C7B10-161D-D042-8C36-88C018701069}"/>
    <hyperlink ref="B133" r:id="rId74" display="https://fbref.com/en/squads/03c57e2b/2023-2024/Osasuna-Stats" xr:uid="{A3356ACF-8C78-F94D-AA80-F5F464987FFD}"/>
    <hyperlink ref="B134" r:id="rId75" display="https://fbref.com/en/squads/98e8af82/2023-2024/Rayo-Vallecano-Stats" xr:uid="{6214FAC8-0160-1F4C-AC20-7CDFC9B08C2C}"/>
    <hyperlink ref="B135" r:id="rId76" display="https://fbref.com/en/squads/53a2f082/2023-2024/Real-Madrid-Stats" xr:uid="{1D3E668D-0230-464D-B55C-F12DD0B8DBFC}"/>
    <hyperlink ref="B136" r:id="rId77" display="https://fbref.com/en/squads/e31d1cd9/2023-2024/Real-Sociedad-Stats" xr:uid="{0226384A-4023-A143-B26F-3D3257195C10}"/>
    <hyperlink ref="B137" r:id="rId78" display="https://fbref.com/en/squads/ad2be733/2023-2024/Sevilla-Stats" xr:uid="{E7A5B703-1F26-8F45-8536-16F70A79B6DB}"/>
    <hyperlink ref="B138" r:id="rId79" display="https://fbref.com/en/squads/dcc91a7b/2023-2024/Valencia-Stats" xr:uid="{9F7846F3-E618-3A4A-A34E-863842AE0049}"/>
    <hyperlink ref="B139" r:id="rId80" display="https://fbref.com/en/squads/2a8183b3/2023-2024/Villarreal-Stats" xr:uid="{7E80AB9D-A8A4-F142-B727-17D684DEE90B}"/>
    <hyperlink ref="B97" r:id="rId81" display="https://fbref.com/en/squads/8d6fd021/2020-2021/Alaves-Stats" xr:uid="{CED638DD-7A67-2947-B493-D75D5E5CB9BF}"/>
    <hyperlink ref="B98" r:id="rId82" display="https://fbref.com/en/squads/2b390eca/2020-2021/Athletic-Club-Stats" xr:uid="{F004E67B-75A5-9C42-8E07-B3BEDB6C5C67}"/>
    <hyperlink ref="B99" r:id="rId83" display="https://fbref.com/en/squads/db3b9613/2020-2021/Atletico-Madrid-Stats" xr:uid="{1EB516C2-09B9-A14D-873B-EF13109F2423}"/>
    <hyperlink ref="B100" r:id="rId84" display="https://fbref.com/en/squads/206d90db/2020-2021/Barcelona-Stats" xr:uid="{08E36332-D02E-3647-99F2-4911B4CDAC6F}"/>
    <hyperlink ref="B101" r:id="rId85" display="https://fbref.com/en/squads/fc536746/2020-2021/Real-Betis-Stats" xr:uid="{7EF3B0E4-550A-9640-AF61-A243DA0456E4}"/>
    <hyperlink ref="B102" r:id="rId86" display="https://fbref.com/en/squads/ee7c297c/2020-2021/Cadiz-Stats" xr:uid="{75E8F02C-5E43-6146-82C0-5A9EB702FF1B}"/>
    <hyperlink ref="B103" r:id="rId87" display="https://fbref.com/en/squads/f25da7fb/2020-2021/Celta-Vigo-Stats" xr:uid="{03E120E4-DB64-4E41-9E70-AEE75543308A}"/>
    <hyperlink ref="B104" r:id="rId88" display="https://fbref.com/en/squads/bea5c710/2020-2021/Eibar-Stats" xr:uid="{7BFD93BC-18C5-324D-97B9-6CDC2EAF3DA8}"/>
    <hyperlink ref="B105" r:id="rId89" display="https://fbref.com/en/squads/6c8b07df/2020-2021/Elche-Stats" xr:uid="{754FA4A5-4D11-5B47-ABB1-58874AECF907}"/>
    <hyperlink ref="B106" r:id="rId90" display="https://fbref.com/en/squads/7848bd64/2020-2021/Getafe-Stats" xr:uid="{6E9C6B17-761C-CE42-B9A3-D78528A4B586}"/>
    <hyperlink ref="B107" r:id="rId91" display="https://fbref.com/en/squads/a0435291/2020-2021/Granada-Stats" xr:uid="{2001E21A-4C42-B548-ABF7-66D78E71A678}"/>
    <hyperlink ref="B108" r:id="rId92" display="https://fbref.com/en/squads/c6c493e6/2020-2021/Huesca-Stats" xr:uid="{985C55B4-479E-DA46-94E6-A910B52CE251}"/>
    <hyperlink ref="B109" r:id="rId93" display="https://fbref.com/en/squads/9800b6a1/2020-2021/Levante-Stats" xr:uid="{4CDEFD98-9EEC-8343-A5D8-F50139153877}"/>
    <hyperlink ref="B110" r:id="rId94" display="https://fbref.com/en/squads/03c57e2b/2020-2021/Osasuna-Stats" xr:uid="{1AC829A2-3E2B-E74A-9DE3-37C2C254EAED}"/>
    <hyperlink ref="B111" r:id="rId95" display="https://fbref.com/en/squads/53a2f082/2020-2021/Real-Madrid-Stats" xr:uid="{2F6BCBF8-64AA-DD4C-8F8B-7558B82D905D}"/>
    <hyperlink ref="B112" r:id="rId96" display="https://fbref.com/en/squads/e31d1cd9/2020-2021/Real-Sociedad-Stats" xr:uid="{5A10AFD9-1FFF-A14E-BD68-2DAF9D057B36}"/>
    <hyperlink ref="B113" r:id="rId97" display="https://fbref.com/en/squads/ad2be733/2020-2021/Sevilla-Stats" xr:uid="{870012A9-1871-9A48-91A6-A6009B9BD393}"/>
    <hyperlink ref="B114" r:id="rId98" display="https://fbref.com/en/squads/dcc91a7b/2020-2021/Valencia-Stats" xr:uid="{514E158B-2F55-FD4F-8BA2-49007D042A44}"/>
    <hyperlink ref="B115" r:id="rId99" display="https://fbref.com/en/squads/17859612/2020-2021/Valladolid-Stats" xr:uid="{5D7AECF8-846B-884C-AA78-9F8392255045}"/>
    <hyperlink ref="B116" r:id="rId100" display="https://fbref.com/en/squads/2a8183b3/2020-2021/Villarreal-Stats" xr:uid="{1D4F2669-1F79-B040-9C6B-63D3B77695BD}"/>
    <hyperlink ref="B74" r:id="rId101" display="https://fbref.com/en/squads/8d6fd021/2018-2019/Alaves-Stats" xr:uid="{CB63DDFF-D1C3-7D41-83E0-105130AD886C}"/>
    <hyperlink ref="B75" r:id="rId102" display="https://fbref.com/en/squads/2b390eca/2018-2019/Athletic-Club-Stats" xr:uid="{97311A89-6303-834D-B389-26DA1E5F7643}"/>
    <hyperlink ref="B76" r:id="rId103" display="https://fbref.com/en/squads/db3b9613/2018-2019/Atletico-Madrid-Stats" xr:uid="{8A3B5F29-55A0-0A4C-B213-329B8F975C3B}"/>
    <hyperlink ref="B77" r:id="rId104" display="https://fbref.com/en/squads/206d90db/2018-2019/Barcelona-Stats" xr:uid="{E3C4BF04-F067-BC46-ABD9-CE73ABEB863A}"/>
    <hyperlink ref="B78" r:id="rId105" display="https://fbref.com/en/squads/fc536746/2018-2019/Real-Betis-Stats" xr:uid="{3BC1AA4E-B11E-8449-86E8-C4EFAB723290}"/>
    <hyperlink ref="B79" r:id="rId106" display="https://fbref.com/en/squads/f25da7fb/2018-2019/Celta-Vigo-Stats" xr:uid="{2A10E4F0-6E43-5A45-ABA9-4C1FA77C60D7}"/>
    <hyperlink ref="B80" r:id="rId107" display="https://fbref.com/en/squads/bea5c710/2018-2019/Eibar-Stats" xr:uid="{91313096-C412-1F42-B608-6EC137CF6E83}"/>
    <hyperlink ref="B81" r:id="rId108" display="https://fbref.com/en/squads/a8661628/2018-2019/Espanyol-Stats" xr:uid="{570E4AC9-D656-CD49-8834-6A946C14CECF}"/>
    <hyperlink ref="B82" r:id="rId109" display="https://fbref.com/en/squads/7848bd64/2018-2019/Getafe-Stats" xr:uid="{A77C635E-8260-EF42-9839-BA44CF7094D6}"/>
    <hyperlink ref="B83" r:id="rId110" display="https://fbref.com/en/squads/9024a00a/2018-2019/Girona-Stats" xr:uid="{DDF45D14-0579-3C41-8024-B5142AF37E6F}"/>
    <hyperlink ref="B84" r:id="rId111" display="https://fbref.com/en/squads/c6c493e6/2018-2019/Huesca-Stats" xr:uid="{95B153EA-CF29-3E4D-81C3-43F05B7075CE}"/>
    <hyperlink ref="B85" r:id="rId112" display="https://fbref.com/en/squads/7c6f2c78/2018-2019/Leganes-Stats" xr:uid="{F2A622CA-A37F-1F48-B8A0-EA6B4E40B04B}"/>
    <hyperlink ref="B86" r:id="rId113" display="https://fbref.com/en/squads/9800b6a1/2018-2019/Levante-Stats" xr:uid="{282AF419-144B-1E49-BB82-EB22919B27F8}"/>
    <hyperlink ref="B87" r:id="rId114" display="https://fbref.com/en/squads/98e8af82/2018-2019/Rayo-Vallecano-Stats" xr:uid="{F49A8D28-D972-F347-AD3B-C4A086DB8C76}"/>
    <hyperlink ref="B88" r:id="rId115" display="https://fbref.com/en/squads/53a2f082/2018-2019/Real-Madrid-Stats" xr:uid="{6B7C089F-327C-7D43-86F7-50AF70538F80}"/>
    <hyperlink ref="B89" r:id="rId116" display="https://fbref.com/en/squads/e31d1cd9/2018-2019/Real-Sociedad-Stats" xr:uid="{A845F983-8D5F-6C46-84F1-DC77F49957DA}"/>
    <hyperlink ref="B90" r:id="rId117" display="https://fbref.com/en/squads/ad2be733/2018-2019/Sevilla-Stats" xr:uid="{5D02CDEB-6448-4046-A9F4-28A8152F761B}"/>
    <hyperlink ref="B91" r:id="rId118" display="https://fbref.com/en/squads/dcc91a7b/2018-2019/Valencia-Stats" xr:uid="{2666D3D0-A350-3749-A58C-338C3B082BC8}"/>
    <hyperlink ref="B92" r:id="rId119" display="https://fbref.com/en/squads/17859612/2018-2019/Valladolid-Stats" xr:uid="{7F0F8369-3E2F-144F-AF63-A19DF5D72FE6}"/>
    <hyperlink ref="B93" r:id="rId120" display="https://fbref.com/en/squads/2a8183b3/2018-2019/Villarreal-Stats" xr:uid="{DA414AEA-422E-474F-B10F-D52DBE09876D}"/>
  </hyperlinks>
  <pageMargins left="0.7" right="0.7" top="0.75" bottom="0.75" header="0.3" footer="0.3"/>
  <pageSetup orientation="portrait" horizontalDpi="0" verticalDpi="0"/>
  <drawing r:id="rId1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8264-E243-6D45-B344-AA5CD16CEA1A}">
  <dimension ref="A1:AE90"/>
  <sheetViews>
    <sheetView showGridLines="0" zoomScale="106" zoomScaleNormal="125" workbookViewId="0"/>
  </sheetViews>
  <sheetFormatPr baseColWidth="10" defaultRowHeight="16" x14ac:dyDescent="0.2"/>
  <cols>
    <col min="1" max="1" width="10.83203125" style="24" customWidth="1"/>
    <col min="2" max="2" width="22.83203125" style="6" customWidth="1"/>
    <col min="3" max="26" width="18.83203125" style="6" customWidth="1"/>
    <col min="27" max="31" width="17.33203125" style="6" customWidth="1"/>
    <col min="32" max="16384" width="10.83203125" style="6"/>
  </cols>
  <sheetData>
    <row r="1" spans="2:26" ht="16" customHeight="1" x14ac:dyDescent="0.2">
      <c r="B1" s="7"/>
      <c r="C1" s="32"/>
    </row>
    <row r="2" spans="2:26" ht="16" customHeight="1" x14ac:dyDescent="0.2">
      <c r="B2" s="29" t="s">
        <v>80</v>
      </c>
      <c r="E2" s="7"/>
      <c r="F2" s="7"/>
      <c r="G2" s="7"/>
      <c r="H2" s="7"/>
      <c r="I2" s="7"/>
      <c r="J2" s="15"/>
    </row>
    <row r="3" spans="2:26" x14ac:dyDescent="0.2">
      <c r="G3" s="33"/>
    </row>
    <row r="4" spans="2:26" x14ac:dyDescent="0.2">
      <c r="B4" s="31" t="s">
        <v>84</v>
      </c>
    </row>
    <row r="5" spans="2:26" ht="16" customHeight="1" x14ac:dyDescent="0.2">
      <c r="C5" s="14"/>
      <c r="D5" s="35"/>
      <c r="E5" s="36"/>
      <c r="F5" s="14"/>
      <c r="G5" s="35"/>
      <c r="J5" s="15"/>
    </row>
    <row r="6" spans="2:26" ht="16" customHeight="1" x14ac:dyDescent="0.2">
      <c r="B6" s="81" t="s">
        <v>21</v>
      </c>
      <c r="C6" s="78" t="s">
        <v>38</v>
      </c>
      <c r="D6" s="79"/>
      <c r="E6" s="79"/>
      <c r="F6" s="79"/>
      <c r="G6" s="79"/>
      <c r="H6" s="79"/>
      <c r="I6" s="79"/>
      <c r="J6" s="80"/>
      <c r="K6" s="78" t="s">
        <v>42</v>
      </c>
      <c r="L6" s="79"/>
      <c r="M6" s="79"/>
      <c r="N6" s="79"/>
      <c r="O6" s="79"/>
      <c r="P6" s="79"/>
      <c r="Q6" s="79"/>
      <c r="R6" s="80"/>
      <c r="S6" s="78" t="s">
        <v>46</v>
      </c>
      <c r="T6" s="79"/>
      <c r="U6" s="79"/>
      <c r="V6" s="79"/>
      <c r="W6" s="79"/>
      <c r="X6" s="79"/>
      <c r="Y6" s="79"/>
      <c r="Z6" s="80"/>
    </row>
    <row r="7" spans="2:26" ht="16" customHeight="1" x14ac:dyDescent="0.2">
      <c r="B7" s="82"/>
      <c r="C7" s="28" t="s">
        <v>37</v>
      </c>
      <c r="D7" s="9" t="s">
        <v>22</v>
      </c>
      <c r="E7" s="9" t="s">
        <v>23</v>
      </c>
      <c r="F7" s="9" t="s">
        <v>78</v>
      </c>
      <c r="G7" s="9" t="s">
        <v>30</v>
      </c>
      <c r="H7" s="9" t="s">
        <v>76</v>
      </c>
      <c r="I7" s="9" t="s">
        <v>77</v>
      </c>
      <c r="J7" s="26" t="s">
        <v>81</v>
      </c>
      <c r="K7" s="28" t="s">
        <v>37</v>
      </c>
      <c r="L7" s="9" t="s">
        <v>22</v>
      </c>
      <c r="M7" s="9" t="s">
        <v>23</v>
      </c>
      <c r="N7" s="9" t="s">
        <v>78</v>
      </c>
      <c r="O7" s="9" t="s">
        <v>30</v>
      </c>
      <c r="P7" s="9" t="s">
        <v>76</v>
      </c>
      <c r="Q7" s="9" t="s">
        <v>77</v>
      </c>
      <c r="R7" s="26" t="s">
        <v>81</v>
      </c>
      <c r="S7" s="28" t="s">
        <v>37</v>
      </c>
      <c r="T7" s="9" t="s">
        <v>22</v>
      </c>
      <c r="U7" s="9" t="s">
        <v>23</v>
      </c>
      <c r="V7" s="9" t="s">
        <v>78</v>
      </c>
      <c r="W7" s="9" t="s">
        <v>30</v>
      </c>
      <c r="X7" s="9" t="s">
        <v>76</v>
      </c>
      <c r="Y7" s="9" t="s">
        <v>77</v>
      </c>
      <c r="Z7" s="26" t="s">
        <v>81</v>
      </c>
    </row>
    <row r="8" spans="2:26" ht="16" customHeight="1" x14ac:dyDescent="0.2">
      <c r="B8" s="39" t="s">
        <v>49</v>
      </c>
      <c r="C8" s="46">
        <v>17295</v>
      </c>
      <c r="D8" s="47">
        <v>19</v>
      </c>
      <c r="E8" s="47">
        <v>7</v>
      </c>
      <c r="F8" s="48">
        <f>'Clean Data LL'!E8/'Clean Data LL'!D8</f>
        <v>0.36842105263157893</v>
      </c>
      <c r="G8" s="47">
        <v>1.53</v>
      </c>
      <c r="H8" s="47">
        <v>0</v>
      </c>
      <c r="I8" s="47">
        <v>-11</v>
      </c>
      <c r="J8" s="49">
        <f t="shared" ref="J8:J19" si="0">H8-I8</f>
        <v>11</v>
      </c>
      <c r="K8" s="22"/>
      <c r="L8" s="11">
        <v>19</v>
      </c>
      <c r="M8" s="11">
        <v>6</v>
      </c>
      <c r="N8" s="54">
        <f>'Clean Data LL'!M8/'Clean Data LL'!L8</f>
        <v>0.31578947368421051</v>
      </c>
      <c r="O8" s="11">
        <v>1.26</v>
      </c>
      <c r="P8" s="11">
        <v>-4</v>
      </c>
      <c r="Q8" s="55">
        <v>-17</v>
      </c>
      <c r="R8" s="18">
        <f t="shared" ref="R8:R19" si="1">P8-Q8</f>
        <v>13</v>
      </c>
      <c r="S8" s="17">
        <v>17391</v>
      </c>
      <c r="T8" s="11">
        <v>19</v>
      </c>
      <c r="U8" s="11">
        <v>9</v>
      </c>
      <c r="V8" s="34">
        <f>'Clean Data LL'!U8/'Clean Data LL'!T8</f>
        <v>0.47368421052631576</v>
      </c>
      <c r="W8" s="11">
        <v>1.63</v>
      </c>
      <c r="X8" s="11">
        <v>4</v>
      </c>
      <c r="Y8" s="11">
        <v>-14</v>
      </c>
      <c r="Z8" s="18">
        <f t="shared" ref="Z8:Z14" si="2">X8-Y8</f>
        <v>18</v>
      </c>
    </row>
    <row r="9" spans="2:26" ht="16" customHeight="1" x14ac:dyDescent="0.2">
      <c r="B9" s="39" t="s">
        <v>51</v>
      </c>
      <c r="C9" s="46">
        <v>40664</v>
      </c>
      <c r="D9" s="47">
        <v>19</v>
      </c>
      <c r="E9" s="47">
        <v>9</v>
      </c>
      <c r="F9" s="48">
        <f>'Clean Data LL'!E9/'Clean Data LL'!D9</f>
        <v>0.47368421052631576</v>
      </c>
      <c r="G9" s="47">
        <v>1.84</v>
      </c>
      <c r="H9" s="47">
        <v>7</v>
      </c>
      <c r="I9" s="47">
        <v>-11</v>
      </c>
      <c r="J9" s="49">
        <f t="shared" si="0"/>
        <v>18</v>
      </c>
      <c r="K9" s="22"/>
      <c r="L9" s="11">
        <v>19</v>
      </c>
      <c r="M9" s="11">
        <v>8</v>
      </c>
      <c r="N9" s="54">
        <f>'Clean Data LL'!M9/'Clean Data LL'!L9</f>
        <v>0.42105263157894735</v>
      </c>
      <c r="O9" s="11">
        <v>1.58</v>
      </c>
      <c r="P9" s="11">
        <v>10</v>
      </c>
      <c r="Q9" s="55">
        <v>-6</v>
      </c>
      <c r="R9" s="18">
        <f t="shared" si="1"/>
        <v>16</v>
      </c>
      <c r="S9" s="17">
        <v>46112</v>
      </c>
      <c r="T9" s="11">
        <v>19</v>
      </c>
      <c r="U9" s="11">
        <v>12</v>
      </c>
      <c r="V9" s="34">
        <f>'Clean Data LL'!U9/'Clean Data LL'!T9</f>
        <v>0.63157894736842102</v>
      </c>
      <c r="W9" s="11">
        <v>2.21</v>
      </c>
      <c r="X9" s="11">
        <v>24</v>
      </c>
      <c r="Y9" s="11">
        <v>0</v>
      </c>
      <c r="Z9" s="18">
        <f t="shared" si="2"/>
        <v>24</v>
      </c>
    </row>
    <row r="10" spans="2:26" ht="16" customHeight="1" x14ac:dyDescent="0.2">
      <c r="B10" s="39" t="s">
        <v>52</v>
      </c>
      <c r="C10" s="46">
        <v>56216</v>
      </c>
      <c r="D10" s="47">
        <v>19</v>
      </c>
      <c r="E10" s="47">
        <v>15</v>
      </c>
      <c r="F10" s="48">
        <f>'Clean Data LL'!E10/'Clean Data LL'!D10</f>
        <v>0.78947368421052633</v>
      </c>
      <c r="G10" s="47">
        <v>2.5299999999999998</v>
      </c>
      <c r="H10" s="47">
        <v>22</v>
      </c>
      <c r="I10" s="47">
        <v>4</v>
      </c>
      <c r="J10" s="49">
        <f t="shared" si="0"/>
        <v>18</v>
      </c>
      <c r="K10" s="22"/>
      <c r="L10" s="11">
        <v>19</v>
      </c>
      <c r="M10" s="11">
        <v>15</v>
      </c>
      <c r="N10" s="54">
        <f>'Clean Data LL'!M10/'Clean Data LL'!L10</f>
        <v>0.78947368421052633</v>
      </c>
      <c r="O10" s="11">
        <v>2.5299999999999998</v>
      </c>
      <c r="P10" s="11">
        <v>30</v>
      </c>
      <c r="Q10" s="55">
        <v>12</v>
      </c>
      <c r="R10" s="18">
        <f t="shared" si="1"/>
        <v>18</v>
      </c>
      <c r="S10" s="17">
        <v>59121</v>
      </c>
      <c r="T10" s="11">
        <v>19</v>
      </c>
      <c r="U10" s="11">
        <v>16</v>
      </c>
      <c r="V10" s="34">
        <f>'Clean Data LL'!U10/'Clean Data LL'!T10</f>
        <v>0.84210526315789469</v>
      </c>
      <c r="W10" s="11">
        <v>2.58</v>
      </c>
      <c r="X10" s="11">
        <v>20</v>
      </c>
      <c r="Y10" s="11">
        <v>7</v>
      </c>
      <c r="Z10" s="18">
        <f t="shared" si="2"/>
        <v>13</v>
      </c>
    </row>
    <row r="11" spans="2:26" ht="16" customHeight="1" x14ac:dyDescent="0.2">
      <c r="B11" s="39" t="s">
        <v>53</v>
      </c>
      <c r="C11" s="46">
        <v>76104</v>
      </c>
      <c r="D11" s="47">
        <v>19</v>
      </c>
      <c r="E11" s="47">
        <v>15</v>
      </c>
      <c r="F11" s="48">
        <f>'Clean Data LL'!E11/'Clean Data LL'!D11</f>
        <v>0.78947368421052633</v>
      </c>
      <c r="G11" s="47">
        <v>2.5299999999999998</v>
      </c>
      <c r="H11" s="47">
        <v>34</v>
      </c>
      <c r="I11" s="47">
        <v>20</v>
      </c>
      <c r="J11" s="49">
        <f t="shared" si="0"/>
        <v>14</v>
      </c>
      <c r="K11" s="22"/>
      <c r="L11" s="11">
        <v>19</v>
      </c>
      <c r="M11" s="11">
        <v>11</v>
      </c>
      <c r="N11" s="54">
        <f>'Clean Data LL'!M11/'Clean Data LL'!L11</f>
        <v>0.57894736842105265</v>
      </c>
      <c r="O11" s="11">
        <v>2</v>
      </c>
      <c r="P11" s="11">
        <v>24</v>
      </c>
      <c r="Q11" s="55">
        <v>23</v>
      </c>
      <c r="R11" s="18">
        <f t="shared" si="1"/>
        <v>1</v>
      </c>
      <c r="S11" s="17">
        <v>39846</v>
      </c>
      <c r="T11" s="11">
        <v>19</v>
      </c>
      <c r="U11" s="11">
        <v>15</v>
      </c>
      <c r="V11" s="34">
        <f>'Clean Data LL'!U11/'Clean Data LL'!T11</f>
        <v>0.78947368421052633</v>
      </c>
      <c r="W11" s="11">
        <v>2.42</v>
      </c>
      <c r="X11" s="11">
        <v>22</v>
      </c>
      <c r="Y11" s="11">
        <v>13</v>
      </c>
      <c r="Z11" s="18">
        <f t="shared" si="2"/>
        <v>9</v>
      </c>
    </row>
    <row r="12" spans="2:26" ht="16" customHeight="1" x14ac:dyDescent="0.2">
      <c r="B12" s="39" t="s">
        <v>54</v>
      </c>
      <c r="C12" s="46">
        <v>44525</v>
      </c>
      <c r="D12" s="47">
        <v>19</v>
      </c>
      <c r="E12" s="47">
        <v>8</v>
      </c>
      <c r="F12" s="48">
        <f>'Clean Data LL'!E12/'Clean Data LL'!D12</f>
        <v>0.42105263157894735</v>
      </c>
      <c r="G12" s="47">
        <v>1.53</v>
      </c>
      <c r="H12" s="47">
        <v>-1</v>
      </c>
      <c r="I12" s="47">
        <v>-7</v>
      </c>
      <c r="J12" s="49">
        <f t="shared" si="0"/>
        <v>6</v>
      </c>
      <c r="K12" s="22"/>
      <c r="L12" s="11">
        <v>19</v>
      </c>
      <c r="M12" s="11">
        <v>10</v>
      </c>
      <c r="N12" s="54">
        <f>'Clean Data LL'!M12/'Clean Data LL'!L12</f>
        <v>0.52631578947368418</v>
      </c>
      <c r="O12" s="11">
        <v>1.84</v>
      </c>
      <c r="P12" s="11">
        <v>6</v>
      </c>
      <c r="Q12" s="55">
        <v>-6</v>
      </c>
      <c r="R12" s="18">
        <f t="shared" si="1"/>
        <v>12</v>
      </c>
      <c r="S12" s="17">
        <v>51259</v>
      </c>
      <c r="T12" s="11">
        <v>19</v>
      </c>
      <c r="U12" s="11">
        <v>9</v>
      </c>
      <c r="V12" s="34">
        <f>'Clean Data LL'!U12/'Clean Data LL'!T12</f>
        <v>0.47368421052631576</v>
      </c>
      <c r="W12" s="11">
        <v>1.79</v>
      </c>
      <c r="X12" s="11">
        <v>8</v>
      </c>
      <c r="Y12" s="11">
        <v>-5</v>
      </c>
      <c r="Z12" s="18">
        <f t="shared" si="2"/>
        <v>13</v>
      </c>
    </row>
    <row r="13" spans="2:26" ht="16" customHeight="1" x14ac:dyDescent="0.2">
      <c r="B13" s="39" t="s">
        <v>56</v>
      </c>
      <c r="C13" s="46">
        <v>17603</v>
      </c>
      <c r="D13" s="47">
        <v>19</v>
      </c>
      <c r="E13" s="47">
        <v>8</v>
      </c>
      <c r="F13" s="48">
        <f>'Clean Data LL'!E13/'Clean Data LL'!D13</f>
        <v>0.42105263157894735</v>
      </c>
      <c r="G13" s="47">
        <v>1.53</v>
      </c>
      <c r="H13" s="47">
        <v>6</v>
      </c>
      <c r="I13" s="47">
        <v>-15</v>
      </c>
      <c r="J13" s="49">
        <f t="shared" si="0"/>
        <v>21</v>
      </c>
      <c r="K13" s="22">
        <v>91</v>
      </c>
      <c r="L13" s="11">
        <v>19</v>
      </c>
      <c r="M13" s="11">
        <v>9</v>
      </c>
      <c r="N13" s="54">
        <f>'Clean Data LL'!M13/'Clean Data LL'!L13</f>
        <v>0.47368421052631576</v>
      </c>
      <c r="O13" s="11">
        <v>1.58</v>
      </c>
      <c r="P13" s="11">
        <v>0</v>
      </c>
      <c r="Q13" s="55">
        <v>-2</v>
      </c>
      <c r="R13" s="18">
        <f t="shared" si="1"/>
        <v>2</v>
      </c>
      <c r="S13" s="17">
        <v>20039</v>
      </c>
      <c r="T13" s="11">
        <v>19</v>
      </c>
      <c r="U13" s="11">
        <v>6</v>
      </c>
      <c r="V13" s="34">
        <f>'Clean Data LL'!U13/'Clean Data LL'!T13</f>
        <v>0.31578947368421051</v>
      </c>
      <c r="W13" s="11">
        <v>1.26</v>
      </c>
      <c r="X13" s="11">
        <v>-2</v>
      </c>
      <c r="Y13" s="11">
        <v>-9</v>
      </c>
      <c r="Z13" s="18">
        <f t="shared" si="2"/>
        <v>7</v>
      </c>
    </row>
    <row r="14" spans="2:26" ht="16" customHeight="1" x14ac:dyDescent="0.2">
      <c r="B14" s="39" t="s">
        <v>57</v>
      </c>
      <c r="C14" s="46">
        <v>11000</v>
      </c>
      <c r="D14" s="47">
        <v>19</v>
      </c>
      <c r="E14" s="47">
        <v>11</v>
      </c>
      <c r="F14" s="48">
        <f>'Clean Data LL'!E14/'Clean Data LL'!D14</f>
        <v>0.57894736842105265</v>
      </c>
      <c r="G14" s="47">
        <v>1.89</v>
      </c>
      <c r="H14" s="47">
        <v>15</v>
      </c>
      <c r="I14" s="47">
        <v>-2</v>
      </c>
      <c r="J14" s="49">
        <f t="shared" si="0"/>
        <v>17</v>
      </c>
      <c r="K14" s="22"/>
      <c r="L14" s="11">
        <v>19</v>
      </c>
      <c r="M14" s="11">
        <v>6</v>
      </c>
      <c r="N14" s="54">
        <f>'Clean Data LL'!M14/'Clean Data LL'!L14</f>
        <v>0.31578947368421051</v>
      </c>
      <c r="O14" s="11">
        <v>1.26</v>
      </c>
      <c r="P14" s="11">
        <v>2</v>
      </c>
      <c r="Q14" s="55">
        <v>-17</v>
      </c>
      <c r="R14" s="18">
        <f t="shared" si="1"/>
        <v>19</v>
      </c>
      <c r="S14" s="17">
        <v>11456</v>
      </c>
      <c r="T14" s="11">
        <v>19</v>
      </c>
      <c r="U14" s="11">
        <v>8</v>
      </c>
      <c r="V14" s="34">
        <f>'Clean Data LL'!U14/'Clean Data LL'!T14</f>
        <v>0.42105263157894735</v>
      </c>
      <c r="W14" s="11">
        <v>1.53</v>
      </c>
      <c r="X14" s="11">
        <v>-2</v>
      </c>
      <c r="Y14" s="11">
        <v>-10</v>
      </c>
      <c r="Z14" s="18">
        <f t="shared" si="2"/>
        <v>8</v>
      </c>
    </row>
    <row r="15" spans="2:26" ht="16" customHeight="1" x14ac:dyDescent="0.2">
      <c r="B15" s="39" t="s">
        <v>64</v>
      </c>
      <c r="C15" s="46">
        <v>61040</v>
      </c>
      <c r="D15" s="47">
        <v>19</v>
      </c>
      <c r="E15" s="47">
        <v>13</v>
      </c>
      <c r="F15" s="48">
        <f>'Clean Data LL'!E15/'Clean Data LL'!D15</f>
        <v>0.68421052631578949</v>
      </c>
      <c r="G15" s="47">
        <v>2.11</v>
      </c>
      <c r="H15" s="47">
        <v>17</v>
      </c>
      <c r="I15" s="47">
        <v>0</v>
      </c>
      <c r="J15" s="49">
        <f>H15-I15</f>
        <v>17</v>
      </c>
      <c r="K15" s="22"/>
      <c r="L15" s="11">
        <v>19</v>
      </c>
      <c r="M15" s="11">
        <v>13</v>
      </c>
      <c r="N15" s="54">
        <f>'Clean Data LL'!M15/'Clean Data LL'!L15</f>
        <v>0.68421052631578949</v>
      </c>
      <c r="O15" s="11">
        <v>2.21</v>
      </c>
      <c r="P15" s="11">
        <v>20</v>
      </c>
      <c r="Q15" s="55">
        <v>19</v>
      </c>
      <c r="R15" s="18">
        <f t="shared" si="1"/>
        <v>1</v>
      </c>
      <c r="S15" s="17">
        <v>72061</v>
      </c>
      <c r="T15" s="11">
        <v>19</v>
      </c>
      <c r="U15" s="11">
        <v>16</v>
      </c>
      <c r="V15" s="34">
        <f>'Clean Data LL'!U15/'Clean Data LL'!T15</f>
        <v>0.84210526315789469</v>
      </c>
      <c r="W15" s="11">
        <v>2.68</v>
      </c>
      <c r="X15" s="11">
        <v>39</v>
      </c>
      <c r="Y15" s="11">
        <v>22</v>
      </c>
      <c r="Z15" s="18">
        <f t="shared" ref="Z15:Z19" si="3">X15-Y15</f>
        <v>17</v>
      </c>
    </row>
    <row r="16" spans="2:26" ht="16" customHeight="1" x14ac:dyDescent="0.2">
      <c r="B16" s="39" t="s">
        <v>65</v>
      </c>
      <c r="C16" s="46">
        <v>22310</v>
      </c>
      <c r="D16" s="47">
        <v>19</v>
      </c>
      <c r="E16" s="47">
        <v>7</v>
      </c>
      <c r="F16" s="48">
        <f>'Clean Data LL'!E16/'Clean Data LL'!D16</f>
        <v>0.36842105263157893</v>
      </c>
      <c r="G16" s="47">
        <v>1.42</v>
      </c>
      <c r="H16" s="47">
        <v>3</v>
      </c>
      <c r="I16" s="47">
        <v>-4</v>
      </c>
      <c r="J16" s="49">
        <f t="shared" si="0"/>
        <v>7</v>
      </c>
      <c r="K16" s="22"/>
      <c r="L16" s="11">
        <v>19</v>
      </c>
      <c r="M16" s="11">
        <v>9</v>
      </c>
      <c r="N16" s="54">
        <f>'Clean Data LL'!M16/'Clean Data LL'!L16</f>
        <v>0.47368421052631576</v>
      </c>
      <c r="O16" s="11">
        <v>1.74</v>
      </c>
      <c r="P16" s="11">
        <v>13</v>
      </c>
      <c r="Q16" s="55">
        <v>8</v>
      </c>
      <c r="R16" s="18">
        <f t="shared" si="1"/>
        <v>5</v>
      </c>
      <c r="S16" s="17">
        <v>31710</v>
      </c>
      <c r="T16" s="11">
        <v>19</v>
      </c>
      <c r="U16" s="11">
        <v>8</v>
      </c>
      <c r="V16" s="34">
        <f>'Clean Data LL'!U16/'Clean Data LL'!T16</f>
        <v>0.42105263157894735</v>
      </c>
      <c r="W16" s="11">
        <v>1.58</v>
      </c>
      <c r="X16" s="11">
        <v>6</v>
      </c>
      <c r="Y16" s="11">
        <v>6</v>
      </c>
      <c r="Z16" s="18">
        <f t="shared" si="3"/>
        <v>0</v>
      </c>
    </row>
    <row r="17" spans="2:26" ht="16" customHeight="1" x14ac:dyDescent="0.2">
      <c r="B17" s="39" t="s">
        <v>66</v>
      </c>
      <c r="C17" s="46">
        <v>35993</v>
      </c>
      <c r="D17" s="47">
        <v>19</v>
      </c>
      <c r="E17" s="47">
        <v>12</v>
      </c>
      <c r="F17" s="48">
        <f>'Clean Data LL'!E17/'Clean Data LL'!D17</f>
        <v>0.63157894736842102</v>
      </c>
      <c r="G17" s="47">
        <v>2.0499999999999998</v>
      </c>
      <c r="H17" s="47">
        <v>19</v>
      </c>
      <c r="I17" s="47">
        <v>-4</v>
      </c>
      <c r="J17" s="49">
        <f t="shared" si="0"/>
        <v>23</v>
      </c>
      <c r="K17" s="22"/>
      <c r="L17" s="11">
        <v>19</v>
      </c>
      <c r="M17" s="11">
        <v>14</v>
      </c>
      <c r="N17" s="54">
        <f>'Clean Data LL'!M17/'Clean Data LL'!L17</f>
        <v>0.73684210526315785</v>
      </c>
      <c r="O17" s="11">
        <v>2.2599999999999998</v>
      </c>
      <c r="P17" s="11">
        <v>16</v>
      </c>
      <c r="Q17" s="55">
        <v>4</v>
      </c>
      <c r="R17" s="18">
        <f t="shared" si="1"/>
        <v>12</v>
      </c>
      <c r="S17" s="17">
        <v>34984</v>
      </c>
      <c r="T17" s="11">
        <v>19</v>
      </c>
      <c r="U17" s="11">
        <v>6</v>
      </c>
      <c r="V17" s="34">
        <f>'Clean Data LL'!U17/'Clean Data LL'!T17</f>
        <v>0.31578947368421051</v>
      </c>
      <c r="W17" s="11">
        <v>1.21</v>
      </c>
      <c r="X17" s="11">
        <v>0</v>
      </c>
      <c r="Y17" s="11">
        <v>-6</v>
      </c>
      <c r="Z17" s="18">
        <f t="shared" si="3"/>
        <v>6</v>
      </c>
    </row>
    <row r="18" spans="2:26" ht="16" customHeight="1" x14ac:dyDescent="0.2">
      <c r="B18" s="39" t="s">
        <v>67</v>
      </c>
      <c r="C18" s="46">
        <v>39504</v>
      </c>
      <c r="D18" s="47">
        <v>19</v>
      </c>
      <c r="E18" s="47">
        <v>7</v>
      </c>
      <c r="F18" s="48">
        <f>'Clean Data LL'!E18/'Clean Data LL'!D18</f>
        <v>0.36842105263157893</v>
      </c>
      <c r="G18" s="47">
        <v>1.63</v>
      </c>
      <c r="H18" s="47">
        <v>12</v>
      </c>
      <c r="I18" s="47">
        <v>4</v>
      </c>
      <c r="J18" s="49">
        <f t="shared" si="0"/>
        <v>8</v>
      </c>
      <c r="K18" s="22">
        <v>142</v>
      </c>
      <c r="L18" s="11">
        <v>19</v>
      </c>
      <c r="M18" s="11">
        <v>8</v>
      </c>
      <c r="N18" s="54">
        <f>'Clean Data LL'!M18/'Clean Data LL'!L18</f>
        <v>0.42105263157894735</v>
      </c>
      <c r="O18" s="11">
        <v>1.63</v>
      </c>
      <c r="P18" s="11">
        <v>11</v>
      </c>
      <c r="Q18" s="55">
        <v>-14</v>
      </c>
      <c r="R18" s="18">
        <f t="shared" si="1"/>
        <v>25</v>
      </c>
      <c r="S18" s="17">
        <v>43420</v>
      </c>
      <c r="T18" s="11">
        <v>19</v>
      </c>
      <c r="U18" s="11">
        <v>8</v>
      </c>
      <c r="V18" s="34">
        <f>'Clean Data LL'!U18/'Clean Data LL'!T18</f>
        <v>0.42105263157894735</v>
      </c>
      <c r="W18" s="11">
        <v>1.58</v>
      </c>
      <c r="X18" s="11">
        <v>6</v>
      </c>
      <c r="Y18" s="11">
        <v>-11</v>
      </c>
      <c r="Z18" s="18">
        <f t="shared" si="3"/>
        <v>17</v>
      </c>
    </row>
    <row r="19" spans="2:26" ht="16" customHeight="1" x14ac:dyDescent="0.2">
      <c r="B19" s="40" t="s">
        <v>68</v>
      </c>
      <c r="C19" s="50">
        <v>16732</v>
      </c>
      <c r="D19" s="52">
        <v>19</v>
      </c>
      <c r="E19" s="52">
        <v>5</v>
      </c>
      <c r="F19" s="51">
        <f>'Clean Data LL'!E19/'Clean Data LL'!D19</f>
        <v>0.26315789473684209</v>
      </c>
      <c r="G19" s="52">
        <v>1.21</v>
      </c>
      <c r="H19" s="52">
        <v>2</v>
      </c>
      <c r="I19" s="52">
        <v>-5</v>
      </c>
      <c r="J19" s="53">
        <f t="shared" si="0"/>
        <v>7</v>
      </c>
      <c r="K19" s="23">
        <v>253</v>
      </c>
      <c r="L19" s="20">
        <v>19</v>
      </c>
      <c r="M19" s="20">
        <v>8</v>
      </c>
      <c r="N19" s="56">
        <f>'Clean Data LL'!M19/'Clean Data LL'!L19</f>
        <v>0.42105263157894735</v>
      </c>
      <c r="O19" s="20">
        <v>1.58</v>
      </c>
      <c r="P19" s="20">
        <v>6</v>
      </c>
      <c r="Q19" s="57">
        <v>10</v>
      </c>
      <c r="R19" s="21">
        <f t="shared" si="1"/>
        <v>-4</v>
      </c>
      <c r="S19" s="19">
        <v>17957</v>
      </c>
      <c r="T19" s="20">
        <v>19</v>
      </c>
      <c r="U19" s="20">
        <v>7</v>
      </c>
      <c r="V19" s="41">
        <f>'Clean Data LL'!U19/'Clean Data LL'!T19</f>
        <v>0.36842105263157893</v>
      </c>
      <c r="W19" s="20">
        <v>1.37</v>
      </c>
      <c r="X19" s="20">
        <v>4</v>
      </c>
      <c r="Y19" s="20">
        <v>-4</v>
      </c>
      <c r="Z19" s="21">
        <f t="shared" si="3"/>
        <v>8</v>
      </c>
    </row>
    <row r="20" spans="2:26" ht="16" customHeight="1" x14ac:dyDescent="0.2">
      <c r="C20" s="14"/>
      <c r="D20" s="35"/>
      <c r="E20" s="36"/>
      <c r="F20" s="14"/>
      <c r="G20" s="35"/>
      <c r="J20" s="15"/>
    </row>
    <row r="21" spans="2:26" ht="16" customHeight="1" x14ac:dyDescent="0.2">
      <c r="C21" s="14"/>
      <c r="D21" s="35"/>
      <c r="E21" s="36"/>
      <c r="F21" s="14"/>
      <c r="G21" s="35"/>
      <c r="J21" s="15"/>
    </row>
    <row r="22" spans="2:26" ht="16" customHeight="1" x14ac:dyDescent="0.2">
      <c r="E22" s="7"/>
      <c r="F22" s="7"/>
      <c r="G22" s="33"/>
      <c r="H22" s="7"/>
      <c r="I22" s="7"/>
      <c r="J22" s="15"/>
    </row>
    <row r="23" spans="2:26" ht="16" customHeight="1" x14ac:dyDescent="0.2">
      <c r="E23" s="7"/>
      <c r="F23" s="7"/>
      <c r="G23" s="33"/>
      <c r="H23" s="7"/>
      <c r="I23" s="7"/>
      <c r="J23" s="15"/>
    </row>
    <row r="24" spans="2:26" ht="16" customHeight="1" x14ac:dyDescent="0.2">
      <c r="B24" s="31" t="s">
        <v>83</v>
      </c>
      <c r="H24" s="7"/>
      <c r="I24" s="7"/>
      <c r="J24" s="15"/>
    </row>
    <row r="25" spans="2:26" ht="16" customHeight="1" x14ac:dyDescent="0.2">
      <c r="E25" s="7"/>
      <c r="F25" s="7"/>
      <c r="G25" s="33"/>
      <c r="H25" s="7"/>
      <c r="I25" s="7"/>
      <c r="J25" s="15"/>
    </row>
    <row r="26" spans="2:26" ht="16" customHeight="1" x14ac:dyDescent="0.2">
      <c r="B26" s="83" t="s">
        <v>38</v>
      </c>
      <c r="C26" s="16" t="s">
        <v>21</v>
      </c>
      <c r="D26" s="42" t="s">
        <v>37</v>
      </c>
      <c r="E26" s="42" t="s">
        <v>22</v>
      </c>
      <c r="F26" s="42" t="s">
        <v>23</v>
      </c>
      <c r="G26" s="42" t="s">
        <v>78</v>
      </c>
      <c r="H26" s="42" t="s">
        <v>30</v>
      </c>
      <c r="I26" s="42" t="s">
        <v>76</v>
      </c>
      <c r="J26" s="42" t="s">
        <v>77</v>
      </c>
      <c r="K26" s="43" t="s">
        <v>81</v>
      </c>
    </row>
    <row r="27" spans="2:26" x14ac:dyDescent="0.2">
      <c r="B27" s="83"/>
      <c r="C27" s="25" t="s">
        <v>49</v>
      </c>
      <c r="D27" s="10">
        <v>17295</v>
      </c>
      <c r="E27" s="11">
        <v>19</v>
      </c>
      <c r="F27" s="11">
        <v>7</v>
      </c>
      <c r="G27" s="27">
        <f>'Clean Data LL'!F27/'Clean Data LL'!E27</f>
        <v>0.36842105263157893</v>
      </c>
      <c r="H27" s="11">
        <v>1.53</v>
      </c>
      <c r="I27" s="11">
        <v>0</v>
      </c>
      <c r="J27" s="11">
        <v>-11</v>
      </c>
      <c r="K27" s="37">
        <f t="shared" ref="K27:K46" si="4">I27-J27</f>
        <v>11</v>
      </c>
    </row>
    <row r="28" spans="2:26" x14ac:dyDescent="0.2">
      <c r="B28" s="83"/>
      <c r="C28" s="25" t="s">
        <v>51</v>
      </c>
      <c r="D28" s="10">
        <v>40664</v>
      </c>
      <c r="E28" s="11">
        <v>19</v>
      </c>
      <c r="F28" s="11">
        <v>9</v>
      </c>
      <c r="G28" s="27">
        <f>'Clean Data LL'!F28/'Clean Data LL'!E28</f>
        <v>0.47368421052631576</v>
      </c>
      <c r="H28" s="11">
        <v>1.84</v>
      </c>
      <c r="I28" s="11">
        <v>7</v>
      </c>
      <c r="J28" s="11">
        <v>-11</v>
      </c>
      <c r="K28" s="37">
        <f t="shared" si="4"/>
        <v>18</v>
      </c>
    </row>
    <row r="29" spans="2:26" x14ac:dyDescent="0.2">
      <c r="B29" s="83"/>
      <c r="C29" s="25" t="s">
        <v>52</v>
      </c>
      <c r="D29" s="10">
        <v>56216</v>
      </c>
      <c r="E29" s="11">
        <v>19</v>
      </c>
      <c r="F29" s="11">
        <v>15</v>
      </c>
      <c r="G29" s="27">
        <f>'Clean Data LL'!F29/'Clean Data LL'!E29</f>
        <v>0.78947368421052633</v>
      </c>
      <c r="H29" s="11">
        <v>2.5299999999999998</v>
      </c>
      <c r="I29" s="11">
        <v>22</v>
      </c>
      <c r="J29" s="11">
        <v>4</v>
      </c>
      <c r="K29" s="37">
        <f t="shared" si="4"/>
        <v>18</v>
      </c>
    </row>
    <row r="30" spans="2:26" x14ac:dyDescent="0.2">
      <c r="B30" s="83"/>
      <c r="C30" s="25" t="s">
        <v>53</v>
      </c>
      <c r="D30" s="10">
        <v>76104</v>
      </c>
      <c r="E30" s="11">
        <v>19</v>
      </c>
      <c r="F30" s="11">
        <v>15</v>
      </c>
      <c r="G30" s="27">
        <f>'Clean Data LL'!F30/'Clean Data LL'!E30</f>
        <v>0.78947368421052633</v>
      </c>
      <c r="H30" s="11">
        <v>2.5299999999999998</v>
      </c>
      <c r="I30" s="11">
        <v>34</v>
      </c>
      <c r="J30" s="11">
        <v>20</v>
      </c>
      <c r="K30" s="37">
        <f t="shared" si="4"/>
        <v>14</v>
      </c>
    </row>
    <row r="31" spans="2:26" x14ac:dyDescent="0.2">
      <c r="B31" s="83"/>
      <c r="C31" s="25" t="s">
        <v>54</v>
      </c>
      <c r="D31" s="10">
        <v>44525</v>
      </c>
      <c r="E31" s="11">
        <v>19</v>
      </c>
      <c r="F31" s="11">
        <v>8</v>
      </c>
      <c r="G31" s="27">
        <f>'Clean Data LL'!F31/'Clean Data LL'!E31</f>
        <v>0.42105263157894735</v>
      </c>
      <c r="H31" s="11">
        <v>1.53</v>
      </c>
      <c r="I31" s="11">
        <v>-1</v>
      </c>
      <c r="J31" s="11">
        <v>-7</v>
      </c>
      <c r="K31" s="37">
        <f t="shared" si="4"/>
        <v>6</v>
      </c>
    </row>
    <row r="32" spans="2:26" x14ac:dyDescent="0.2">
      <c r="B32" s="83"/>
      <c r="C32" s="25" t="s">
        <v>56</v>
      </c>
      <c r="D32" s="10">
        <v>17603</v>
      </c>
      <c r="E32" s="11">
        <v>19</v>
      </c>
      <c r="F32" s="11">
        <v>8</v>
      </c>
      <c r="G32" s="27">
        <f>'Clean Data LL'!F32/'Clean Data LL'!E32</f>
        <v>0.42105263157894735</v>
      </c>
      <c r="H32" s="11">
        <v>1.53</v>
      </c>
      <c r="I32" s="11">
        <v>6</v>
      </c>
      <c r="J32" s="11">
        <v>-15</v>
      </c>
      <c r="K32" s="37">
        <f t="shared" si="4"/>
        <v>21</v>
      </c>
    </row>
    <row r="33" spans="2:11" x14ac:dyDescent="0.2">
      <c r="B33" s="83"/>
      <c r="C33" s="25" t="s">
        <v>69</v>
      </c>
      <c r="D33" s="10">
        <v>4896</v>
      </c>
      <c r="E33" s="11">
        <v>19</v>
      </c>
      <c r="F33" s="11">
        <v>9</v>
      </c>
      <c r="G33" s="27">
        <f>'Clean Data LL'!F33/'Clean Data LL'!E33</f>
        <v>0.47368421052631576</v>
      </c>
      <c r="H33" s="11">
        <v>1.74</v>
      </c>
      <c r="I33" s="11">
        <v>10</v>
      </c>
      <c r="J33" s="11">
        <v>-14</v>
      </c>
      <c r="K33" s="37">
        <f t="shared" si="4"/>
        <v>24</v>
      </c>
    </row>
    <row r="34" spans="2:11" x14ac:dyDescent="0.2">
      <c r="B34" s="83"/>
      <c r="C34" s="25" t="s">
        <v>74</v>
      </c>
      <c r="D34" s="10">
        <v>19388</v>
      </c>
      <c r="E34" s="11">
        <v>19</v>
      </c>
      <c r="F34" s="11">
        <v>11</v>
      </c>
      <c r="G34" s="27">
        <f>'Clean Data LL'!F34/'Clean Data LL'!E34</f>
        <v>0.57894736842105265</v>
      </c>
      <c r="H34" s="11">
        <v>1.89</v>
      </c>
      <c r="I34" s="11">
        <v>6</v>
      </c>
      <c r="J34" s="11">
        <v>-8</v>
      </c>
      <c r="K34" s="37">
        <f t="shared" si="4"/>
        <v>14</v>
      </c>
    </row>
    <row r="35" spans="2:11" x14ac:dyDescent="0.2">
      <c r="B35" s="83"/>
      <c r="C35" s="25" t="s">
        <v>57</v>
      </c>
      <c r="D35" s="10">
        <v>11000</v>
      </c>
      <c r="E35" s="11">
        <v>19</v>
      </c>
      <c r="F35" s="11">
        <v>11</v>
      </c>
      <c r="G35" s="27">
        <f>'Clean Data LL'!F35/'Clean Data LL'!E35</f>
        <v>0.57894736842105265</v>
      </c>
      <c r="H35" s="11">
        <v>1.89</v>
      </c>
      <c r="I35" s="11">
        <v>15</v>
      </c>
      <c r="J35" s="11">
        <v>-2</v>
      </c>
      <c r="K35" s="37">
        <f t="shared" si="4"/>
        <v>17</v>
      </c>
    </row>
    <row r="36" spans="2:11" x14ac:dyDescent="0.2">
      <c r="B36" s="83"/>
      <c r="C36" s="25" t="s">
        <v>58</v>
      </c>
      <c r="D36" s="10">
        <v>10948</v>
      </c>
      <c r="E36" s="11">
        <v>19</v>
      </c>
      <c r="F36" s="11">
        <v>3</v>
      </c>
      <c r="G36" s="27">
        <f>'Clean Data LL'!F36/'Clean Data LL'!E36</f>
        <v>0.15789473684210525</v>
      </c>
      <c r="H36" s="11">
        <v>0.79</v>
      </c>
      <c r="I36" s="11">
        <v>-11</v>
      </c>
      <c r="J36" s="11">
        <v>-5</v>
      </c>
      <c r="K36" s="37">
        <f t="shared" si="4"/>
        <v>-6</v>
      </c>
    </row>
    <row r="37" spans="2:11" x14ac:dyDescent="0.2">
      <c r="B37" s="83"/>
      <c r="C37" s="25" t="s">
        <v>71</v>
      </c>
      <c r="D37" s="10">
        <v>6605</v>
      </c>
      <c r="E37" s="11">
        <v>19</v>
      </c>
      <c r="F37" s="11">
        <v>5</v>
      </c>
      <c r="G37" s="27">
        <f>'Clean Data LL'!F37/'Clean Data LL'!E37</f>
        <v>0.26315789473684209</v>
      </c>
      <c r="H37" s="11">
        <v>1.1100000000000001</v>
      </c>
      <c r="I37" s="11">
        <v>-6</v>
      </c>
      <c r="J37" s="11">
        <v>-16</v>
      </c>
      <c r="K37" s="37">
        <f t="shared" si="4"/>
        <v>10</v>
      </c>
    </row>
    <row r="38" spans="2:11" x14ac:dyDescent="0.2">
      <c r="B38" s="83"/>
      <c r="C38" s="25" t="s">
        <v>75</v>
      </c>
      <c r="D38" s="10">
        <v>10416</v>
      </c>
      <c r="E38" s="11">
        <v>19</v>
      </c>
      <c r="F38" s="11">
        <v>7</v>
      </c>
      <c r="G38" s="27">
        <f>'Clean Data LL'!F38/'Clean Data LL'!E38</f>
        <v>0.36842105263157893</v>
      </c>
      <c r="H38" s="11">
        <v>1.53</v>
      </c>
      <c r="I38" s="11">
        <v>3</v>
      </c>
      <c r="J38" s="11">
        <v>-9</v>
      </c>
      <c r="K38" s="37">
        <f t="shared" si="4"/>
        <v>12</v>
      </c>
    </row>
    <row r="39" spans="2:11" x14ac:dyDescent="0.2">
      <c r="B39" s="83"/>
      <c r="C39" s="25" t="s">
        <v>72</v>
      </c>
      <c r="D39" s="10">
        <v>20216</v>
      </c>
      <c r="E39" s="11">
        <v>19</v>
      </c>
      <c r="F39" s="11">
        <v>6</v>
      </c>
      <c r="G39" s="27">
        <f>'Clean Data LL'!F39/'Clean Data LL'!E39</f>
        <v>0.31578947368421051</v>
      </c>
      <c r="H39" s="11">
        <v>1.32</v>
      </c>
      <c r="I39" s="11">
        <v>0</v>
      </c>
      <c r="J39" s="11">
        <v>-7</v>
      </c>
      <c r="K39" s="37">
        <f t="shared" si="4"/>
        <v>7</v>
      </c>
    </row>
    <row r="40" spans="2:11" x14ac:dyDescent="0.2">
      <c r="B40" s="83"/>
      <c r="C40" s="25" t="s">
        <v>63</v>
      </c>
      <c r="D40" s="10">
        <v>11928</v>
      </c>
      <c r="E40" s="11">
        <v>19</v>
      </c>
      <c r="F40" s="11">
        <v>5</v>
      </c>
      <c r="G40" s="27">
        <f>'Clean Data LL'!F40/'Clean Data LL'!E40</f>
        <v>0.26315789473684209</v>
      </c>
      <c r="H40" s="11">
        <v>1.1100000000000001</v>
      </c>
      <c r="I40" s="11">
        <v>-7</v>
      </c>
      <c r="J40" s="11">
        <v>-22</v>
      </c>
      <c r="K40" s="37">
        <f t="shared" si="4"/>
        <v>15</v>
      </c>
    </row>
    <row r="41" spans="2:11" x14ac:dyDescent="0.2">
      <c r="B41" s="83"/>
      <c r="C41" s="25" t="s">
        <v>64</v>
      </c>
      <c r="D41" s="10">
        <v>61040</v>
      </c>
      <c r="E41" s="11">
        <v>19</v>
      </c>
      <c r="F41" s="11">
        <v>13</v>
      </c>
      <c r="G41" s="27">
        <f>'Clean Data LL'!F41/'Clean Data LL'!E41</f>
        <v>0.68421052631578949</v>
      </c>
      <c r="H41" s="11">
        <v>2.11</v>
      </c>
      <c r="I41" s="11">
        <v>17</v>
      </c>
      <c r="J41" s="11">
        <v>0</v>
      </c>
      <c r="K41" s="37">
        <f t="shared" si="4"/>
        <v>17</v>
      </c>
    </row>
    <row r="42" spans="2:11" x14ac:dyDescent="0.2">
      <c r="B42" s="83"/>
      <c r="C42" s="25" t="s">
        <v>65</v>
      </c>
      <c r="D42" s="10">
        <v>22310</v>
      </c>
      <c r="E42" s="11">
        <v>19</v>
      </c>
      <c r="F42" s="11">
        <v>7</v>
      </c>
      <c r="G42" s="27">
        <f>'Clean Data LL'!F42/'Clean Data LL'!E42</f>
        <v>0.36842105263157893</v>
      </c>
      <c r="H42" s="11">
        <v>1.42</v>
      </c>
      <c r="I42" s="11">
        <v>3</v>
      </c>
      <c r="J42" s="11">
        <v>-4</v>
      </c>
      <c r="K42" s="37">
        <f t="shared" si="4"/>
        <v>7</v>
      </c>
    </row>
    <row r="43" spans="2:11" x14ac:dyDescent="0.2">
      <c r="B43" s="83"/>
      <c r="C43" s="25" t="s">
        <v>66</v>
      </c>
      <c r="D43" s="10">
        <v>35993</v>
      </c>
      <c r="E43" s="11">
        <v>19</v>
      </c>
      <c r="F43" s="11">
        <v>12</v>
      </c>
      <c r="G43" s="27">
        <f>'Clean Data LL'!F43/'Clean Data LL'!E43</f>
        <v>0.63157894736842102</v>
      </c>
      <c r="H43" s="11">
        <v>2.0499999999999998</v>
      </c>
      <c r="I43" s="11">
        <v>19</v>
      </c>
      <c r="J43" s="11">
        <v>-4</v>
      </c>
      <c r="K43" s="37">
        <f t="shared" si="4"/>
        <v>23</v>
      </c>
    </row>
    <row r="44" spans="2:11" x14ac:dyDescent="0.2">
      <c r="B44" s="83"/>
      <c r="C44" s="25" t="s">
        <v>67</v>
      </c>
      <c r="D44" s="10">
        <v>39504</v>
      </c>
      <c r="E44" s="11">
        <v>19</v>
      </c>
      <c r="F44" s="11">
        <v>7</v>
      </c>
      <c r="G44" s="27">
        <f>'Clean Data LL'!F44/'Clean Data LL'!E44</f>
        <v>0.36842105263157893</v>
      </c>
      <c r="H44" s="11">
        <v>1.63</v>
      </c>
      <c r="I44" s="11">
        <v>12</v>
      </c>
      <c r="J44" s="11">
        <v>4</v>
      </c>
      <c r="K44" s="37">
        <f t="shared" si="4"/>
        <v>8</v>
      </c>
    </row>
    <row r="45" spans="2:11" x14ac:dyDescent="0.2">
      <c r="B45" s="83"/>
      <c r="C45" s="25" t="s">
        <v>73</v>
      </c>
      <c r="D45" s="10">
        <v>18992</v>
      </c>
      <c r="E45" s="11">
        <v>19</v>
      </c>
      <c r="F45" s="11">
        <v>5</v>
      </c>
      <c r="G45" s="27">
        <f>'Clean Data LL'!F45/'Clean Data LL'!E45</f>
        <v>0.26315789473684209</v>
      </c>
      <c r="H45" s="11">
        <v>1.05</v>
      </c>
      <c r="I45" s="11">
        <v>-10</v>
      </c>
      <c r="J45" s="11">
        <v>-9</v>
      </c>
      <c r="K45" s="37">
        <f t="shared" si="4"/>
        <v>-1</v>
      </c>
    </row>
    <row r="46" spans="2:11" x14ac:dyDescent="0.2">
      <c r="B46" s="83"/>
      <c r="C46" s="30" t="s">
        <v>68</v>
      </c>
      <c r="D46" s="12">
        <v>16732</v>
      </c>
      <c r="E46" s="13">
        <v>19</v>
      </c>
      <c r="F46" s="13">
        <v>5</v>
      </c>
      <c r="G46" s="44">
        <f>'Clean Data LL'!F46/'Clean Data LL'!E46</f>
        <v>0.26315789473684209</v>
      </c>
      <c r="H46" s="13">
        <v>1.21</v>
      </c>
      <c r="I46" s="13">
        <v>2</v>
      </c>
      <c r="J46" s="13">
        <v>-5</v>
      </c>
      <c r="K46" s="38">
        <f t="shared" si="4"/>
        <v>7</v>
      </c>
    </row>
    <row r="47" spans="2:11" x14ac:dyDescent="0.2">
      <c r="G47" s="33"/>
    </row>
    <row r="48" spans="2:11" x14ac:dyDescent="0.2">
      <c r="B48" s="77" t="s">
        <v>42</v>
      </c>
      <c r="C48" s="16" t="s">
        <v>21</v>
      </c>
      <c r="D48" s="42" t="s">
        <v>37</v>
      </c>
      <c r="E48" s="42" t="s">
        <v>22</v>
      </c>
      <c r="F48" s="42" t="s">
        <v>23</v>
      </c>
      <c r="G48" s="42" t="s">
        <v>78</v>
      </c>
      <c r="H48" s="42" t="s">
        <v>30</v>
      </c>
      <c r="I48" s="42" t="s">
        <v>76</v>
      </c>
      <c r="J48" s="42" t="s">
        <v>77</v>
      </c>
      <c r="K48" s="43" t="s">
        <v>81</v>
      </c>
    </row>
    <row r="49" spans="2:31" x14ac:dyDescent="0.2">
      <c r="B49" s="77"/>
      <c r="C49" s="25" t="s">
        <v>49</v>
      </c>
      <c r="D49" s="11"/>
      <c r="E49" s="11">
        <v>19</v>
      </c>
      <c r="F49" s="11">
        <v>6</v>
      </c>
      <c r="G49" s="27">
        <f>'Clean Data LL'!F49/'Clean Data LL'!E49</f>
        <v>0.31578947368421051</v>
      </c>
      <c r="H49" s="11">
        <v>1.26</v>
      </c>
      <c r="I49" s="11">
        <v>-4</v>
      </c>
      <c r="J49" s="11">
        <v>-17</v>
      </c>
      <c r="K49" s="37">
        <f t="shared" ref="K49:K68" si="5">I49-J49</f>
        <v>13</v>
      </c>
    </row>
    <row r="50" spans="2:31" x14ac:dyDescent="0.2">
      <c r="B50" s="77"/>
      <c r="C50" s="25" t="s">
        <v>51</v>
      </c>
      <c r="D50" s="11"/>
      <c r="E50" s="11">
        <v>19</v>
      </c>
      <c r="F50" s="11">
        <v>8</v>
      </c>
      <c r="G50" s="27">
        <f>'Clean Data LL'!F50/'Clean Data LL'!E50</f>
        <v>0.42105263157894735</v>
      </c>
      <c r="H50" s="11">
        <v>1.58</v>
      </c>
      <c r="I50" s="11">
        <v>10</v>
      </c>
      <c r="J50" s="11">
        <v>-6</v>
      </c>
      <c r="K50" s="37">
        <f t="shared" si="5"/>
        <v>16</v>
      </c>
    </row>
    <row r="51" spans="2:31" ht="16" customHeight="1" x14ac:dyDescent="0.2">
      <c r="B51" s="77"/>
      <c r="C51" s="25" t="s">
        <v>52</v>
      </c>
      <c r="D51" s="11"/>
      <c r="E51" s="11">
        <v>19</v>
      </c>
      <c r="F51" s="11">
        <v>15</v>
      </c>
      <c r="G51" s="27">
        <f>'Clean Data LL'!F51/'Clean Data LL'!E51</f>
        <v>0.78947368421052633</v>
      </c>
      <c r="H51" s="11">
        <v>2.5299999999999998</v>
      </c>
      <c r="I51" s="11">
        <v>30</v>
      </c>
      <c r="J51" s="11">
        <v>12</v>
      </c>
      <c r="K51" s="37">
        <f t="shared" si="5"/>
        <v>18</v>
      </c>
      <c r="V51" s="7"/>
      <c r="W51" s="15"/>
      <c r="X51" s="15"/>
      <c r="Y51" s="15"/>
      <c r="Z51" s="15"/>
      <c r="AA51" s="15"/>
      <c r="AB51" s="15"/>
      <c r="AC51" s="15"/>
      <c r="AD51" s="15"/>
      <c r="AE51" s="15"/>
    </row>
    <row r="52" spans="2:31" x14ac:dyDescent="0.2">
      <c r="B52" s="77"/>
      <c r="C52" s="25" t="s">
        <v>53</v>
      </c>
      <c r="D52" s="11"/>
      <c r="E52" s="11">
        <v>19</v>
      </c>
      <c r="F52" s="11">
        <v>11</v>
      </c>
      <c r="G52" s="27">
        <f>'Clean Data LL'!F52/'Clean Data LL'!E52</f>
        <v>0.57894736842105265</v>
      </c>
      <c r="H52" s="11">
        <v>2</v>
      </c>
      <c r="I52" s="11">
        <v>24</v>
      </c>
      <c r="J52" s="11">
        <v>23</v>
      </c>
      <c r="K52" s="37">
        <f t="shared" si="5"/>
        <v>1</v>
      </c>
      <c r="X52" s="14"/>
      <c r="AA52" s="45"/>
    </row>
    <row r="53" spans="2:31" x14ac:dyDescent="0.2">
      <c r="B53" s="77"/>
      <c r="C53" s="25" t="s">
        <v>54</v>
      </c>
      <c r="D53" s="11"/>
      <c r="E53" s="11">
        <v>19</v>
      </c>
      <c r="F53" s="11">
        <v>10</v>
      </c>
      <c r="G53" s="27">
        <f>'Clean Data LL'!F53/'Clean Data LL'!E53</f>
        <v>0.52631578947368418</v>
      </c>
      <c r="H53" s="11">
        <v>1.84</v>
      </c>
      <c r="I53" s="11">
        <v>6</v>
      </c>
      <c r="J53" s="11">
        <v>-6</v>
      </c>
      <c r="K53" s="37">
        <f t="shared" si="5"/>
        <v>12</v>
      </c>
      <c r="X53" s="14"/>
      <c r="AA53" s="45"/>
    </row>
    <row r="54" spans="2:31" x14ac:dyDescent="0.2">
      <c r="B54" s="77"/>
      <c r="C54" s="25" t="s">
        <v>55</v>
      </c>
      <c r="D54" s="11"/>
      <c r="E54" s="11">
        <v>19</v>
      </c>
      <c r="F54" s="11">
        <v>5</v>
      </c>
      <c r="G54" s="27">
        <f>'Clean Data LL'!F54/'Clean Data LL'!E54</f>
        <v>0.26315789473684209</v>
      </c>
      <c r="H54" s="11">
        <v>1.05</v>
      </c>
      <c r="I54" s="11">
        <v>-13</v>
      </c>
      <c r="J54" s="11">
        <v>-9</v>
      </c>
      <c r="K54" s="37">
        <f t="shared" si="5"/>
        <v>-4</v>
      </c>
      <c r="X54" s="14"/>
      <c r="AA54" s="45"/>
    </row>
    <row r="55" spans="2:31" x14ac:dyDescent="0.2">
      <c r="B55" s="77"/>
      <c r="C55" s="25" t="s">
        <v>56</v>
      </c>
      <c r="D55" s="11">
        <v>91</v>
      </c>
      <c r="E55" s="11">
        <v>19</v>
      </c>
      <c r="F55" s="11">
        <v>9</v>
      </c>
      <c r="G55" s="27">
        <f>'Clean Data LL'!F55/'Clean Data LL'!E55</f>
        <v>0.47368421052631576</v>
      </c>
      <c r="H55" s="11">
        <v>1.58</v>
      </c>
      <c r="I55" s="11">
        <v>0</v>
      </c>
      <c r="J55" s="11">
        <v>-2</v>
      </c>
      <c r="K55" s="37">
        <f t="shared" si="5"/>
        <v>2</v>
      </c>
      <c r="X55" s="14"/>
      <c r="AA55" s="45"/>
    </row>
    <row r="56" spans="2:31" x14ac:dyDescent="0.2">
      <c r="B56" s="77"/>
      <c r="C56" s="25" t="s">
        <v>69</v>
      </c>
      <c r="D56" s="11"/>
      <c r="E56" s="11">
        <v>19</v>
      </c>
      <c r="F56" s="11">
        <v>2</v>
      </c>
      <c r="G56" s="27">
        <f>'Clean Data LL'!F56/'Clean Data LL'!E56</f>
        <v>0.10526315789473684</v>
      </c>
      <c r="H56" s="11">
        <v>0.68</v>
      </c>
      <c r="I56" s="11">
        <v>-9</v>
      </c>
      <c r="J56" s="11">
        <v>-14</v>
      </c>
      <c r="K56" s="37">
        <f t="shared" si="5"/>
        <v>5</v>
      </c>
      <c r="X56" s="14"/>
      <c r="AA56" s="45"/>
    </row>
    <row r="57" spans="2:31" x14ac:dyDescent="0.2">
      <c r="B57" s="77"/>
      <c r="C57" s="25" t="s">
        <v>70</v>
      </c>
      <c r="D57" s="11">
        <v>185</v>
      </c>
      <c r="E57" s="11">
        <v>19</v>
      </c>
      <c r="F57" s="11">
        <v>5</v>
      </c>
      <c r="G57" s="27">
        <f>'Clean Data LL'!F57/'Clean Data LL'!E57</f>
        <v>0.26315789473684209</v>
      </c>
      <c r="H57" s="11">
        <v>1.21</v>
      </c>
      <c r="I57" s="11">
        <v>-5</v>
      </c>
      <c r="J57" s="11">
        <v>-16</v>
      </c>
      <c r="K57" s="37">
        <f t="shared" si="5"/>
        <v>11</v>
      </c>
      <c r="X57" s="14"/>
      <c r="AA57" s="45"/>
    </row>
    <row r="58" spans="2:31" x14ac:dyDescent="0.2">
      <c r="B58" s="77"/>
      <c r="C58" s="25" t="s">
        <v>57</v>
      </c>
      <c r="D58" s="11"/>
      <c r="E58" s="11">
        <v>19</v>
      </c>
      <c r="F58" s="11">
        <v>6</v>
      </c>
      <c r="G58" s="27">
        <f>'Clean Data LL'!F58/'Clean Data LL'!E58</f>
        <v>0.31578947368421051</v>
      </c>
      <c r="H58" s="11">
        <v>1.26</v>
      </c>
      <c r="I58" s="11">
        <v>2</v>
      </c>
      <c r="J58" s="11">
        <v>-17</v>
      </c>
      <c r="K58" s="37">
        <f t="shared" si="5"/>
        <v>19</v>
      </c>
      <c r="X58" s="14"/>
      <c r="AA58" s="45"/>
    </row>
    <row r="59" spans="2:31" x14ac:dyDescent="0.2">
      <c r="B59" s="77"/>
      <c r="C59" s="25" t="s">
        <v>59</v>
      </c>
      <c r="D59" s="11"/>
      <c r="E59" s="11">
        <v>19</v>
      </c>
      <c r="F59" s="11">
        <v>9</v>
      </c>
      <c r="G59" s="27">
        <f>'Clean Data LL'!F59/'Clean Data LL'!E59</f>
        <v>0.47368421052631576</v>
      </c>
      <c r="H59" s="11">
        <v>1.63</v>
      </c>
      <c r="I59" s="11">
        <v>0</v>
      </c>
      <c r="J59" s="11">
        <v>-18</v>
      </c>
      <c r="K59" s="37">
        <f t="shared" si="5"/>
        <v>18</v>
      </c>
      <c r="X59" s="14"/>
      <c r="AA59" s="45"/>
    </row>
    <row r="60" spans="2:31" x14ac:dyDescent="0.2">
      <c r="B60" s="77"/>
      <c r="C60" s="25" t="s">
        <v>71</v>
      </c>
      <c r="D60" s="11"/>
      <c r="E60" s="11">
        <v>19</v>
      </c>
      <c r="F60" s="11">
        <v>5</v>
      </c>
      <c r="G60" s="27">
        <f>'Clean Data LL'!F60/'Clean Data LL'!E60</f>
        <v>0.26315789473684209</v>
      </c>
      <c r="H60" s="11">
        <v>1.1599999999999999</v>
      </c>
      <c r="I60" s="11">
        <v>-4</v>
      </c>
      <c r="J60" s="11">
        <v>-15</v>
      </c>
      <c r="K60" s="37">
        <f t="shared" si="5"/>
        <v>11</v>
      </c>
      <c r="X60" s="14"/>
      <c r="AA60" s="45"/>
    </row>
    <row r="61" spans="2:31" x14ac:dyDescent="0.2">
      <c r="B61" s="77"/>
      <c r="C61" s="25" t="s">
        <v>72</v>
      </c>
      <c r="D61" s="11"/>
      <c r="E61" s="11">
        <v>19</v>
      </c>
      <c r="F61" s="11">
        <v>5</v>
      </c>
      <c r="G61" s="27">
        <f>'Clean Data LL'!F61/'Clean Data LL'!E61</f>
        <v>0.26315789473684209</v>
      </c>
      <c r="H61" s="11">
        <v>1.26</v>
      </c>
      <c r="I61" s="11">
        <v>-3</v>
      </c>
      <c r="J61" s="11">
        <v>-8</v>
      </c>
      <c r="K61" s="37">
        <f t="shared" si="5"/>
        <v>5</v>
      </c>
      <c r="X61" s="14"/>
      <c r="AA61" s="45"/>
    </row>
    <row r="62" spans="2:31" x14ac:dyDescent="0.2">
      <c r="B62" s="77"/>
      <c r="C62" s="25" t="s">
        <v>62</v>
      </c>
      <c r="D62" s="11"/>
      <c r="E62" s="11">
        <v>19</v>
      </c>
      <c r="F62" s="11">
        <v>7</v>
      </c>
      <c r="G62" s="27">
        <f>'Clean Data LL'!F62/'Clean Data LL'!E62</f>
        <v>0.36842105263157893</v>
      </c>
      <c r="H62" s="11">
        <v>1.37</v>
      </c>
      <c r="I62" s="11">
        <v>-2</v>
      </c>
      <c r="J62" s="11">
        <v>-9</v>
      </c>
      <c r="K62" s="37">
        <f t="shared" si="5"/>
        <v>7</v>
      </c>
      <c r="X62" s="14"/>
      <c r="AA62" s="45"/>
    </row>
    <row r="63" spans="2:31" x14ac:dyDescent="0.2">
      <c r="B63" s="77"/>
      <c r="C63" s="25" t="s">
        <v>64</v>
      </c>
      <c r="D63" s="11"/>
      <c r="E63" s="11">
        <v>19</v>
      </c>
      <c r="F63" s="11">
        <v>13</v>
      </c>
      <c r="G63" s="27">
        <f>'Clean Data LL'!F63/'Clean Data LL'!E63</f>
        <v>0.68421052631578949</v>
      </c>
      <c r="H63" s="11">
        <v>2.21</v>
      </c>
      <c r="I63" s="11">
        <v>20</v>
      </c>
      <c r="J63" s="11">
        <v>19</v>
      </c>
      <c r="K63" s="37">
        <f t="shared" si="5"/>
        <v>1</v>
      </c>
      <c r="X63" s="14"/>
      <c r="AA63" s="45"/>
    </row>
    <row r="64" spans="2:31" x14ac:dyDescent="0.2">
      <c r="B64" s="77"/>
      <c r="C64" s="25" t="s">
        <v>65</v>
      </c>
      <c r="D64" s="11"/>
      <c r="E64" s="11">
        <v>19</v>
      </c>
      <c r="F64" s="11">
        <v>9</v>
      </c>
      <c r="G64" s="27">
        <f>'Clean Data LL'!F64/'Clean Data LL'!E64</f>
        <v>0.47368421052631576</v>
      </c>
      <c r="H64" s="11">
        <v>1.74</v>
      </c>
      <c r="I64" s="11">
        <v>13</v>
      </c>
      <c r="J64" s="11">
        <v>8</v>
      </c>
      <c r="K64" s="37">
        <f t="shared" si="5"/>
        <v>5</v>
      </c>
      <c r="V64" s="7"/>
    </row>
    <row r="65" spans="2:22" x14ac:dyDescent="0.2">
      <c r="B65" s="77"/>
      <c r="C65" s="25" t="s">
        <v>66</v>
      </c>
      <c r="D65" s="11"/>
      <c r="E65" s="11">
        <v>19</v>
      </c>
      <c r="F65" s="11">
        <v>14</v>
      </c>
      <c r="G65" s="27">
        <f>'Clean Data LL'!F65/'Clean Data LL'!E65</f>
        <v>0.73684210526315785</v>
      </c>
      <c r="H65" s="11">
        <v>2.2599999999999998</v>
      </c>
      <c r="I65" s="11">
        <v>16</v>
      </c>
      <c r="J65" s="11">
        <v>4</v>
      </c>
      <c r="K65" s="37">
        <f t="shared" si="5"/>
        <v>12</v>
      </c>
      <c r="V65" s="7"/>
    </row>
    <row r="66" spans="2:22" x14ac:dyDescent="0.2">
      <c r="B66" s="77"/>
      <c r="C66" s="25" t="s">
        <v>67</v>
      </c>
      <c r="D66" s="11">
        <v>142</v>
      </c>
      <c r="E66" s="11">
        <v>19</v>
      </c>
      <c r="F66" s="11">
        <v>8</v>
      </c>
      <c r="G66" s="27">
        <f>'Clean Data LL'!F66/'Clean Data LL'!E66</f>
        <v>0.42105263157894735</v>
      </c>
      <c r="H66" s="11">
        <v>1.63</v>
      </c>
      <c r="I66" s="11">
        <v>11</v>
      </c>
      <c r="J66" s="11">
        <v>-14</v>
      </c>
      <c r="K66" s="37">
        <f t="shared" si="5"/>
        <v>25</v>
      </c>
      <c r="V66" s="7"/>
    </row>
    <row r="67" spans="2:22" x14ac:dyDescent="0.2">
      <c r="B67" s="77"/>
      <c r="C67" s="25" t="s">
        <v>73</v>
      </c>
      <c r="D67" s="11"/>
      <c r="E67" s="11">
        <v>19</v>
      </c>
      <c r="F67" s="11">
        <v>3</v>
      </c>
      <c r="G67" s="27">
        <f>'Clean Data LL'!F67/'Clean Data LL'!E67</f>
        <v>0.15789473684210525</v>
      </c>
      <c r="H67" s="11">
        <v>0.84</v>
      </c>
      <c r="I67" s="11">
        <v>-11</v>
      </c>
      <c r="J67" s="11">
        <v>-12</v>
      </c>
      <c r="K67" s="37">
        <f t="shared" si="5"/>
        <v>1</v>
      </c>
      <c r="V67" s="7"/>
    </row>
    <row r="68" spans="2:22" x14ac:dyDescent="0.2">
      <c r="B68" s="77"/>
      <c r="C68" s="30" t="s">
        <v>68</v>
      </c>
      <c r="D68" s="13">
        <v>253</v>
      </c>
      <c r="E68" s="13">
        <v>19</v>
      </c>
      <c r="F68" s="13">
        <v>8</v>
      </c>
      <c r="G68" s="44">
        <f>'Clean Data LL'!F68/'Clean Data LL'!E68</f>
        <v>0.42105263157894735</v>
      </c>
      <c r="H68" s="13">
        <v>1.58</v>
      </c>
      <c r="I68" s="13">
        <v>6</v>
      </c>
      <c r="J68" s="13">
        <v>10</v>
      </c>
      <c r="K68" s="38">
        <f t="shared" si="5"/>
        <v>-4</v>
      </c>
      <c r="V68" s="7"/>
    </row>
    <row r="69" spans="2:22" x14ac:dyDescent="0.2">
      <c r="V69" s="7"/>
    </row>
    <row r="70" spans="2:22" x14ac:dyDescent="0.2">
      <c r="B70" s="77" t="s">
        <v>46</v>
      </c>
      <c r="C70" s="16" t="s">
        <v>21</v>
      </c>
      <c r="D70" s="42" t="s">
        <v>37</v>
      </c>
      <c r="E70" s="42" t="s">
        <v>22</v>
      </c>
      <c r="F70" s="42" t="s">
        <v>23</v>
      </c>
      <c r="G70" s="42" t="s">
        <v>78</v>
      </c>
      <c r="H70" s="42" t="s">
        <v>30</v>
      </c>
      <c r="I70" s="42" t="s">
        <v>76</v>
      </c>
      <c r="J70" s="42" t="s">
        <v>77</v>
      </c>
      <c r="K70" s="43" t="s">
        <v>81</v>
      </c>
      <c r="V70" s="7"/>
    </row>
    <row r="71" spans="2:22" x14ac:dyDescent="0.2">
      <c r="B71" s="77"/>
      <c r="C71" s="25" t="s">
        <v>49</v>
      </c>
      <c r="D71" s="10">
        <v>17391</v>
      </c>
      <c r="E71" s="11">
        <v>19</v>
      </c>
      <c r="F71" s="11">
        <v>9</v>
      </c>
      <c r="G71" s="27">
        <f>'Clean Data LL'!F71/'Clean Data LL'!E71</f>
        <v>0.47368421052631576</v>
      </c>
      <c r="H71" s="11">
        <v>1.63</v>
      </c>
      <c r="I71" s="11">
        <v>4</v>
      </c>
      <c r="J71" s="11">
        <v>-14</v>
      </c>
      <c r="K71" s="37">
        <f t="shared" ref="K71:K83" si="6">I71-J71</f>
        <v>18</v>
      </c>
      <c r="V71" s="7"/>
    </row>
    <row r="72" spans="2:22" x14ac:dyDescent="0.2">
      <c r="B72" s="77"/>
      <c r="C72" s="25" t="s">
        <v>50</v>
      </c>
      <c r="D72" s="10">
        <v>12893</v>
      </c>
      <c r="E72" s="11">
        <v>19</v>
      </c>
      <c r="F72" s="11">
        <v>1</v>
      </c>
      <c r="G72" s="27">
        <f>'Clean Data LL'!F72/'Clean Data LL'!E72</f>
        <v>5.2631578947368418E-2</v>
      </c>
      <c r="H72" s="11">
        <v>0.57999999999999996</v>
      </c>
      <c r="I72" s="11">
        <v>-14</v>
      </c>
      <c r="J72" s="11">
        <v>-18</v>
      </c>
      <c r="K72" s="37">
        <f t="shared" si="6"/>
        <v>4</v>
      </c>
    </row>
    <row r="73" spans="2:22" x14ac:dyDescent="0.2">
      <c r="B73" s="77"/>
      <c r="C73" s="25" t="s">
        <v>51</v>
      </c>
      <c r="D73" s="10">
        <v>46112</v>
      </c>
      <c r="E73" s="11">
        <v>19</v>
      </c>
      <c r="F73" s="11">
        <v>12</v>
      </c>
      <c r="G73" s="27">
        <f>'Clean Data LL'!F73/'Clean Data LL'!E73</f>
        <v>0.63157894736842102</v>
      </c>
      <c r="H73" s="11">
        <v>2.21</v>
      </c>
      <c r="I73" s="11">
        <v>24</v>
      </c>
      <c r="J73" s="11">
        <v>0</v>
      </c>
      <c r="K73" s="37">
        <f t="shared" si="6"/>
        <v>24</v>
      </c>
    </row>
    <row r="74" spans="2:22" x14ac:dyDescent="0.2">
      <c r="B74" s="77"/>
      <c r="C74" s="25" t="s">
        <v>52</v>
      </c>
      <c r="D74" s="10">
        <v>59121</v>
      </c>
      <c r="E74" s="11">
        <v>19</v>
      </c>
      <c r="F74" s="11">
        <v>16</v>
      </c>
      <c r="G74" s="27">
        <f>'Clean Data LL'!F74/'Clean Data LL'!E74</f>
        <v>0.84210526315789469</v>
      </c>
      <c r="H74" s="11">
        <v>2.58</v>
      </c>
      <c r="I74" s="11">
        <v>20</v>
      </c>
      <c r="J74" s="11">
        <v>7</v>
      </c>
      <c r="K74" s="37">
        <f t="shared" si="6"/>
        <v>13</v>
      </c>
    </row>
    <row r="75" spans="2:22" x14ac:dyDescent="0.2">
      <c r="B75" s="77"/>
      <c r="C75" s="25" t="s">
        <v>53</v>
      </c>
      <c r="D75" s="10">
        <v>39846</v>
      </c>
      <c r="E75" s="11">
        <v>19</v>
      </c>
      <c r="F75" s="11">
        <v>15</v>
      </c>
      <c r="G75" s="27">
        <f>'Clean Data LL'!F75/'Clean Data LL'!E75</f>
        <v>0.78947368421052633</v>
      </c>
      <c r="H75" s="11">
        <v>2.42</v>
      </c>
      <c r="I75" s="11">
        <v>22</v>
      </c>
      <c r="J75" s="11">
        <v>13</v>
      </c>
      <c r="K75" s="37">
        <f t="shared" si="6"/>
        <v>9</v>
      </c>
    </row>
    <row r="76" spans="2:22" x14ac:dyDescent="0.2">
      <c r="B76" s="77"/>
      <c r="C76" s="25" t="s">
        <v>54</v>
      </c>
      <c r="D76" s="10">
        <v>51259</v>
      </c>
      <c r="E76" s="11">
        <v>19</v>
      </c>
      <c r="F76" s="11">
        <v>9</v>
      </c>
      <c r="G76" s="27">
        <f>'Clean Data LL'!F76/'Clean Data LL'!E76</f>
        <v>0.47368421052631576</v>
      </c>
      <c r="H76" s="11">
        <v>1.79</v>
      </c>
      <c r="I76" s="11">
        <v>8</v>
      </c>
      <c r="J76" s="11">
        <v>-5</v>
      </c>
      <c r="K76" s="37">
        <f t="shared" si="6"/>
        <v>13</v>
      </c>
    </row>
    <row r="77" spans="2:22" x14ac:dyDescent="0.2">
      <c r="B77" s="77"/>
      <c r="C77" s="25" t="s">
        <v>55</v>
      </c>
      <c r="D77" s="10">
        <v>18016</v>
      </c>
      <c r="E77" s="11">
        <v>19</v>
      </c>
      <c r="F77" s="11">
        <v>5</v>
      </c>
      <c r="G77" s="27">
        <f>'Clean Data LL'!F77/'Clean Data LL'!E77</f>
        <v>0.26315789473684209</v>
      </c>
      <c r="H77" s="11">
        <v>1.26</v>
      </c>
      <c r="I77" s="11">
        <v>-3</v>
      </c>
      <c r="J77" s="11">
        <v>-26</v>
      </c>
      <c r="K77" s="37">
        <f t="shared" si="6"/>
        <v>23</v>
      </c>
    </row>
    <row r="78" spans="2:22" x14ac:dyDescent="0.2">
      <c r="B78" s="77"/>
      <c r="C78" s="25" t="s">
        <v>56</v>
      </c>
      <c r="D78" s="10">
        <v>20039</v>
      </c>
      <c r="E78" s="11">
        <v>19</v>
      </c>
      <c r="F78" s="11">
        <v>6</v>
      </c>
      <c r="G78" s="27">
        <f>'Clean Data LL'!F78/'Clean Data LL'!E78</f>
        <v>0.31578947368421051</v>
      </c>
      <c r="H78" s="11">
        <v>1.26</v>
      </c>
      <c r="I78" s="11">
        <v>-2</v>
      </c>
      <c r="J78" s="11">
        <v>-9</v>
      </c>
      <c r="K78" s="37">
        <f t="shared" si="6"/>
        <v>7</v>
      </c>
    </row>
    <row r="79" spans="2:22" x14ac:dyDescent="0.2">
      <c r="B79" s="77"/>
      <c r="C79" s="25" t="s">
        <v>57</v>
      </c>
      <c r="D79" s="10">
        <v>11456</v>
      </c>
      <c r="E79" s="11">
        <v>19</v>
      </c>
      <c r="F79" s="11">
        <v>8</v>
      </c>
      <c r="G79" s="27">
        <f>'Clean Data LL'!F79/'Clean Data LL'!E79</f>
        <v>0.42105263157894735</v>
      </c>
      <c r="H79" s="11">
        <v>1.53</v>
      </c>
      <c r="I79" s="11">
        <v>-2</v>
      </c>
      <c r="J79" s="11">
        <v>-10</v>
      </c>
      <c r="K79" s="37">
        <f t="shared" si="6"/>
        <v>8</v>
      </c>
    </row>
    <row r="80" spans="2:22" x14ac:dyDescent="0.2">
      <c r="B80" s="77"/>
      <c r="C80" s="25" t="s">
        <v>58</v>
      </c>
      <c r="D80" s="10">
        <v>12520</v>
      </c>
      <c r="E80" s="11">
        <v>19</v>
      </c>
      <c r="F80" s="11">
        <v>15</v>
      </c>
      <c r="G80" s="27">
        <f>'Clean Data LL'!F80/'Clean Data LL'!E80</f>
        <v>0.78947368421052633</v>
      </c>
      <c r="H80" s="11">
        <v>2.4700000000000002</v>
      </c>
      <c r="I80" s="11">
        <v>33</v>
      </c>
      <c r="J80" s="11">
        <v>6</v>
      </c>
      <c r="K80" s="37">
        <f t="shared" si="6"/>
        <v>27</v>
      </c>
    </row>
    <row r="81" spans="2:11" x14ac:dyDescent="0.2">
      <c r="B81" s="77"/>
      <c r="C81" s="25" t="s">
        <v>59</v>
      </c>
      <c r="D81" s="10">
        <v>16350</v>
      </c>
      <c r="E81" s="11">
        <v>19</v>
      </c>
      <c r="F81" s="11">
        <v>4</v>
      </c>
      <c r="G81" s="27">
        <f>'Clean Data LL'!F81/'Clean Data LL'!E81</f>
        <v>0.21052631578947367</v>
      </c>
      <c r="H81" s="11">
        <v>0.95</v>
      </c>
      <c r="I81" s="11">
        <v>-8</v>
      </c>
      <c r="J81" s="11">
        <v>-33</v>
      </c>
      <c r="K81" s="37">
        <f t="shared" si="6"/>
        <v>25</v>
      </c>
    </row>
    <row r="82" spans="2:11" x14ac:dyDescent="0.2">
      <c r="B82" s="77"/>
      <c r="C82" s="25" t="s">
        <v>60</v>
      </c>
      <c r="D82" s="10">
        <v>25041</v>
      </c>
      <c r="E82" s="11">
        <v>19</v>
      </c>
      <c r="F82" s="11">
        <v>6</v>
      </c>
      <c r="G82" s="27">
        <f>'Clean Data LL'!F82/'Clean Data LL'!E82</f>
        <v>0.31578947368421051</v>
      </c>
      <c r="H82" s="11">
        <v>1.26</v>
      </c>
      <c r="I82" s="11">
        <v>0</v>
      </c>
      <c r="J82" s="11">
        <v>-14</v>
      </c>
      <c r="K82" s="37">
        <f t="shared" si="6"/>
        <v>14</v>
      </c>
    </row>
    <row r="83" spans="2:11" x14ac:dyDescent="0.2">
      <c r="B83" s="77"/>
      <c r="C83" s="25" t="s">
        <v>61</v>
      </c>
      <c r="D83" s="10">
        <v>17767</v>
      </c>
      <c r="E83" s="11">
        <v>19</v>
      </c>
      <c r="F83" s="11">
        <v>6</v>
      </c>
      <c r="G83" s="27">
        <f>'Clean Data LL'!F83/'Clean Data LL'!E83</f>
        <v>0.31578947368421051</v>
      </c>
      <c r="H83" s="11">
        <v>1.37</v>
      </c>
      <c r="I83" s="11">
        <v>1</v>
      </c>
      <c r="J83" s="11">
        <v>-12</v>
      </c>
      <c r="K83" s="37">
        <f t="shared" si="6"/>
        <v>13</v>
      </c>
    </row>
    <row r="84" spans="2:11" x14ac:dyDescent="0.2">
      <c r="B84" s="77"/>
      <c r="C84" s="25" t="s">
        <v>62</v>
      </c>
      <c r="D84" s="10">
        <v>19703</v>
      </c>
      <c r="E84" s="11">
        <v>19</v>
      </c>
      <c r="F84" s="11">
        <v>6</v>
      </c>
      <c r="G84" s="27">
        <f>'Clean Data LL'!F84/'Clean Data LL'!E84</f>
        <v>0.31578947368421051</v>
      </c>
      <c r="H84" s="11">
        <v>1.21</v>
      </c>
      <c r="I84" s="11">
        <v>-7</v>
      </c>
      <c r="J84" s="11">
        <v>-4</v>
      </c>
      <c r="K84" s="37">
        <f t="shared" ref="K84:K90" si="7">I84-J84</f>
        <v>-3</v>
      </c>
    </row>
    <row r="85" spans="2:11" x14ac:dyDescent="0.2">
      <c r="B85" s="77"/>
      <c r="C85" s="25" t="s">
        <v>63</v>
      </c>
      <c r="D85" s="10">
        <v>12749</v>
      </c>
      <c r="E85" s="11">
        <v>19</v>
      </c>
      <c r="F85" s="11">
        <v>4</v>
      </c>
      <c r="G85" s="27">
        <f>'Clean Data LL'!F85/'Clean Data LL'!E85</f>
        <v>0.21052631578947367</v>
      </c>
      <c r="H85" s="11">
        <v>1.05</v>
      </c>
      <c r="I85" s="11">
        <v>-8</v>
      </c>
      <c r="J85" s="11">
        <v>-11</v>
      </c>
      <c r="K85" s="37">
        <f t="shared" si="7"/>
        <v>3</v>
      </c>
    </row>
    <row r="86" spans="2:11" x14ac:dyDescent="0.2">
      <c r="B86" s="77"/>
      <c r="C86" s="25" t="s">
        <v>64</v>
      </c>
      <c r="D86" s="10">
        <v>72061</v>
      </c>
      <c r="E86" s="11">
        <v>19</v>
      </c>
      <c r="F86" s="11">
        <v>16</v>
      </c>
      <c r="G86" s="27">
        <f>'Clean Data LL'!F86/'Clean Data LL'!E86</f>
        <v>0.84210526315789469</v>
      </c>
      <c r="H86" s="11">
        <v>2.68</v>
      </c>
      <c r="I86" s="11">
        <v>39</v>
      </c>
      <c r="J86" s="11">
        <v>22</v>
      </c>
      <c r="K86" s="37">
        <f t="shared" si="7"/>
        <v>17</v>
      </c>
    </row>
    <row r="87" spans="2:11" x14ac:dyDescent="0.2">
      <c r="B87" s="77"/>
      <c r="C87" s="25" t="s">
        <v>65</v>
      </c>
      <c r="D87" s="10">
        <v>31710</v>
      </c>
      <c r="E87" s="11">
        <v>19</v>
      </c>
      <c r="F87" s="11">
        <v>8</v>
      </c>
      <c r="G87" s="27">
        <f>'Clean Data LL'!F87/'Clean Data LL'!E87</f>
        <v>0.42105263157894735</v>
      </c>
      <c r="H87" s="11">
        <v>1.58</v>
      </c>
      <c r="I87" s="11">
        <v>6</v>
      </c>
      <c r="J87" s="11">
        <v>6</v>
      </c>
      <c r="K87" s="37">
        <f t="shared" si="7"/>
        <v>0</v>
      </c>
    </row>
    <row r="88" spans="2:11" x14ac:dyDescent="0.2">
      <c r="B88" s="77"/>
      <c r="C88" s="25" t="s">
        <v>66</v>
      </c>
      <c r="D88" s="10">
        <v>34984</v>
      </c>
      <c r="E88" s="11">
        <v>19</v>
      </c>
      <c r="F88" s="11">
        <v>6</v>
      </c>
      <c r="G88" s="27">
        <f>'Clean Data LL'!F88/'Clean Data LL'!E88</f>
        <v>0.31578947368421051</v>
      </c>
      <c r="H88" s="11">
        <v>1.21</v>
      </c>
      <c r="I88" s="11">
        <v>0</v>
      </c>
      <c r="J88" s="11">
        <v>-6</v>
      </c>
      <c r="K88" s="37">
        <f t="shared" si="7"/>
        <v>6</v>
      </c>
    </row>
    <row r="89" spans="2:11" x14ac:dyDescent="0.2">
      <c r="B89" s="77"/>
      <c r="C89" s="25" t="s">
        <v>67</v>
      </c>
      <c r="D89" s="10">
        <v>43420</v>
      </c>
      <c r="E89" s="11">
        <v>19</v>
      </c>
      <c r="F89" s="11">
        <v>8</v>
      </c>
      <c r="G89" s="27">
        <f>'Clean Data LL'!F89/'Clean Data LL'!E89</f>
        <v>0.42105263157894735</v>
      </c>
      <c r="H89" s="11">
        <v>1.58</v>
      </c>
      <c r="I89" s="11">
        <v>6</v>
      </c>
      <c r="J89" s="11">
        <v>-11</v>
      </c>
      <c r="K89" s="37">
        <f t="shared" si="7"/>
        <v>17</v>
      </c>
    </row>
    <row r="90" spans="2:11" x14ac:dyDescent="0.2">
      <c r="B90" s="77"/>
      <c r="C90" s="30" t="s">
        <v>68</v>
      </c>
      <c r="D90" s="12">
        <v>17957</v>
      </c>
      <c r="E90" s="13">
        <v>19</v>
      </c>
      <c r="F90" s="13">
        <v>7</v>
      </c>
      <c r="G90" s="44">
        <f>'Clean Data LL'!F90/'Clean Data LL'!E90</f>
        <v>0.36842105263157893</v>
      </c>
      <c r="H90" s="13">
        <v>1.37</v>
      </c>
      <c r="I90" s="13">
        <v>4</v>
      </c>
      <c r="J90" s="13">
        <v>-4</v>
      </c>
      <c r="K90" s="38">
        <f t="shared" si="7"/>
        <v>8</v>
      </c>
    </row>
  </sheetData>
  <mergeCells count="7">
    <mergeCell ref="B70:B90"/>
    <mergeCell ref="B48:B68"/>
    <mergeCell ref="C6:J6"/>
    <mergeCell ref="K6:R6"/>
    <mergeCell ref="S6:Z6"/>
    <mergeCell ref="B6:B7"/>
    <mergeCell ref="B26:B4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8B36-3A35-F44E-8AD9-7F77152BB074}">
  <dimension ref="B1:Z95"/>
  <sheetViews>
    <sheetView showGridLines="0" workbookViewId="0"/>
  </sheetViews>
  <sheetFormatPr baseColWidth="10" defaultRowHeight="16" x14ac:dyDescent="0.2"/>
  <cols>
    <col min="1" max="1" width="10.83203125" style="6"/>
    <col min="2" max="2" width="22.83203125" style="6" customWidth="1"/>
    <col min="3" max="26" width="18.83203125" style="6" customWidth="1"/>
    <col min="27" max="31" width="17.33203125" style="6" customWidth="1"/>
    <col min="32" max="16384" width="10.83203125" style="6"/>
  </cols>
  <sheetData>
    <row r="1" spans="2:26" x14ac:dyDescent="0.2">
      <c r="B1" s="7"/>
      <c r="C1" s="32"/>
    </row>
    <row r="2" spans="2:26" x14ac:dyDescent="0.2">
      <c r="B2" s="29" t="s">
        <v>79</v>
      </c>
      <c r="C2" s="32"/>
    </row>
    <row r="3" spans="2:26" ht="16" customHeight="1" x14ac:dyDescent="0.2">
      <c r="E3" s="7"/>
      <c r="F3" s="7"/>
      <c r="G3" s="7"/>
      <c r="H3" s="7"/>
    </row>
    <row r="4" spans="2:26" ht="16" customHeight="1" x14ac:dyDescent="0.2">
      <c r="B4" s="31" t="s">
        <v>82</v>
      </c>
      <c r="H4" s="7"/>
      <c r="I4" s="7"/>
      <c r="J4" s="15"/>
      <c r="N4" s="31"/>
    </row>
    <row r="5" spans="2:26" ht="16" customHeight="1" x14ac:dyDescent="0.2">
      <c r="E5" s="7"/>
      <c r="F5" s="7"/>
      <c r="G5" s="7"/>
      <c r="H5" s="7"/>
      <c r="I5" s="7"/>
      <c r="J5" s="15"/>
      <c r="N5" s="31"/>
    </row>
    <row r="6" spans="2:26" ht="16" customHeight="1" x14ac:dyDescent="0.2">
      <c r="B6" s="81" t="s">
        <v>21</v>
      </c>
      <c r="C6" s="78" t="s">
        <v>38</v>
      </c>
      <c r="D6" s="79"/>
      <c r="E6" s="79"/>
      <c r="F6" s="79"/>
      <c r="G6" s="79"/>
      <c r="H6" s="79"/>
      <c r="I6" s="79"/>
      <c r="J6" s="80"/>
      <c r="K6" s="78" t="s">
        <v>42</v>
      </c>
      <c r="L6" s="79"/>
      <c r="M6" s="79"/>
      <c r="N6" s="79"/>
      <c r="O6" s="79"/>
      <c r="P6" s="79"/>
      <c r="Q6" s="79"/>
      <c r="R6" s="80"/>
      <c r="S6" s="78" t="s">
        <v>46</v>
      </c>
      <c r="T6" s="79"/>
      <c r="U6" s="79"/>
      <c r="V6" s="79"/>
      <c r="W6" s="79"/>
      <c r="X6" s="79"/>
      <c r="Y6" s="79"/>
      <c r="Z6" s="80"/>
    </row>
    <row r="7" spans="2:26" ht="16" customHeight="1" x14ac:dyDescent="0.2">
      <c r="B7" s="82"/>
      <c r="C7" s="28" t="s">
        <v>37</v>
      </c>
      <c r="D7" s="9" t="s">
        <v>22</v>
      </c>
      <c r="E7" s="9" t="s">
        <v>23</v>
      </c>
      <c r="F7" s="9" t="s">
        <v>78</v>
      </c>
      <c r="G7" s="9" t="s">
        <v>30</v>
      </c>
      <c r="H7" s="9" t="s">
        <v>76</v>
      </c>
      <c r="I7" s="9" t="s">
        <v>77</v>
      </c>
      <c r="J7" s="26" t="s">
        <v>81</v>
      </c>
      <c r="K7" s="28" t="s">
        <v>37</v>
      </c>
      <c r="L7" s="9" t="s">
        <v>22</v>
      </c>
      <c r="M7" s="9" t="s">
        <v>23</v>
      </c>
      <c r="N7" s="9" t="s">
        <v>78</v>
      </c>
      <c r="O7" s="9" t="s">
        <v>30</v>
      </c>
      <c r="P7" s="9" t="s">
        <v>76</v>
      </c>
      <c r="Q7" s="9" t="s">
        <v>77</v>
      </c>
      <c r="R7" s="26" t="s">
        <v>81</v>
      </c>
      <c r="S7" s="28" t="s">
        <v>37</v>
      </c>
      <c r="T7" s="9" t="s">
        <v>22</v>
      </c>
      <c r="U7" s="9" t="s">
        <v>23</v>
      </c>
      <c r="V7" s="9" t="s">
        <v>78</v>
      </c>
      <c r="W7" s="9" t="s">
        <v>30</v>
      </c>
      <c r="X7" s="9" t="s">
        <v>76</v>
      </c>
      <c r="Y7" s="9" t="s">
        <v>77</v>
      </c>
      <c r="Z7" s="26" t="s">
        <v>81</v>
      </c>
    </row>
    <row r="8" spans="2:26" ht="16" customHeight="1" x14ac:dyDescent="0.2">
      <c r="B8" s="39" t="s">
        <v>4</v>
      </c>
      <c r="C8" s="46">
        <v>59899</v>
      </c>
      <c r="D8" s="47">
        <v>19</v>
      </c>
      <c r="E8" s="58">
        <v>14</v>
      </c>
      <c r="F8" s="59">
        <f>'Clean Data PL'!E8/'Clean Data PL'!D8</f>
        <v>0.73684210526315785</v>
      </c>
      <c r="G8" s="58">
        <v>2.37</v>
      </c>
      <c r="H8" s="58">
        <v>26</v>
      </c>
      <c r="I8" s="58">
        <v>-4</v>
      </c>
      <c r="J8" s="49">
        <f t="shared" ref="J8:J21" si="0">H8-I8</f>
        <v>30</v>
      </c>
      <c r="K8" s="22">
        <v>632</v>
      </c>
      <c r="L8" s="11">
        <v>19</v>
      </c>
      <c r="M8" s="11">
        <v>8</v>
      </c>
      <c r="N8" s="34">
        <f>'Clean Data PL'!M8/'Clean Data PL'!L8</f>
        <v>0.42105263157894735</v>
      </c>
      <c r="O8" s="11">
        <v>1.47</v>
      </c>
      <c r="P8" s="11">
        <v>3</v>
      </c>
      <c r="Q8" s="11">
        <v>13</v>
      </c>
      <c r="R8" s="18">
        <f t="shared" ref="R8:R21" si="1">P8-Q8</f>
        <v>-10</v>
      </c>
      <c r="S8" s="17">
        <v>60236</v>
      </c>
      <c r="T8" s="11">
        <v>19</v>
      </c>
      <c r="U8" s="11">
        <v>15</v>
      </c>
      <c r="V8" s="34">
        <f>'Clean Data PL'!U8/'Clean Data PL'!T8</f>
        <v>0.78947368421052633</v>
      </c>
      <c r="W8" s="11">
        <v>2.4700000000000002</v>
      </c>
      <c r="X8" s="11">
        <v>32</v>
      </c>
      <c r="Y8" s="11">
        <v>30</v>
      </c>
      <c r="Z8" s="18">
        <f t="shared" ref="Z8:Z20" si="2">X8-Y8</f>
        <v>2</v>
      </c>
    </row>
    <row r="9" spans="2:26" ht="16" customHeight="1" x14ac:dyDescent="0.2">
      <c r="B9" s="39" t="s">
        <v>16</v>
      </c>
      <c r="C9" s="46">
        <v>30426</v>
      </c>
      <c r="D9" s="47">
        <v>19</v>
      </c>
      <c r="E9" s="58">
        <v>6</v>
      </c>
      <c r="F9" s="59">
        <f>'Clean Data PL'!E9/'Clean Data PL'!D9</f>
        <v>0.31578947368421051</v>
      </c>
      <c r="G9" s="58">
        <v>1.21</v>
      </c>
      <c r="H9" s="58">
        <v>-9</v>
      </c>
      <c r="I9" s="58">
        <v>-16</v>
      </c>
      <c r="J9" s="49">
        <f t="shared" si="0"/>
        <v>7</v>
      </c>
      <c r="K9" s="22">
        <v>523</v>
      </c>
      <c r="L9" s="11">
        <v>19</v>
      </c>
      <c r="M9" s="11">
        <v>4</v>
      </c>
      <c r="N9" s="34">
        <f>'Clean Data PL'!M9/'Clean Data PL'!L9</f>
        <v>0.21052631578947367</v>
      </c>
      <c r="O9" s="11">
        <v>1.1100000000000001</v>
      </c>
      <c r="P9" s="11">
        <v>0</v>
      </c>
      <c r="Q9" s="11">
        <v>-6</v>
      </c>
      <c r="R9" s="18">
        <f t="shared" si="1"/>
        <v>6</v>
      </c>
      <c r="S9" s="17">
        <v>32638</v>
      </c>
      <c r="T9" s="11">
        <v>19</v>
      </c>
      <c r="U9" s="11">
        <v>8</v>
      </c>
      <c r="V9" s="34">
        <f>'Clean Data PL'!U9/'Clean Data PL'!T9</f>
        <v>0.42105263157894735</v>
      </c>
      <c r="W9" s="11">
        <v>1.58</v>
      </c>
      <c r="X9" s="11">
        <v>3</v>
      </c>
      <c r="Y9" s="11">
        <v>-10</v>
      </c>
      <c r="Z9" s="18">
        <f t="shared" si="2"/>
        <v>13</v>
      </c>
    </row>
    <row r="10" spans="2:26" ht="16" customHeight="1" x14ac:dyDescent="0.2">
      <c r="B10" s="39" t="s">
        <v>14</v>
      </c>
      <c r="C10" s="46">
        <v>20534</v>
      </c>
      <c r="D10" s="47">
        <v>19</v>
      </c>
      <c r="E10" s="58">
        <v>7</v>
      </c>
      <c r="F10" s="59">
        <f>'Clean Data PL'!E10/'Clean Data PL'!D10</f>
        <v>0.36842105263157893</v>
      </c>
      <c r="G10" s="58">
        <v>1.21</v>
      </c>
      <c r="H10" s="58">
        <v>-8</v>
      </c>
      <c r="I10" s="58">
        <v>-15</v>
      </c>
      <c r="J10" s="49">
        <f t="shared" si="0"/>
        <v>7</v>
      </c>
      <c r="K10" s="22">
        <v>178</v>
      </c>
      <c r="L10" s="11">
        <v>19</v>
      </c>
      <c r="M10" s="11">
        <v>4</v>
      </c>
      <c r="N10" s="34">
        <f>'Clean Data PL'!M10/'Clean Data PL'!L10</f>
        <v>0.21052631578947367</v>
      </c>
      <c r="O10" s="11">
        <v>0.95</v>
      </c>
      <c r="P10" s="11">
        <v>-13</v>
      </c>
      <c r="Q10" s="11">
        <v>-9</v>
      </c>
      <c r="R10" s="18">
        <f t="shared" si="1"/>
        <v>-4</v>
      </c>
      <c r="S10" s="17">
        <v>21184</v>
      </c>
      <c r="T10" s="11">
        <v>19</v>
      </c>
      <c r="U10" s="11">
        <v>2</v>
      </c>
      <c r="V10" s="34">
        <f>'Clean Data PL'!U10/'Clean Data PL'!T10</f>
        <v>0.10526315789473684</v>
      </c>
      <c r="W10" s="11">
        <v>0.53</v>
      </c>
      <c r="X10" s="11">
        <v>-24</v>
      </c>
      <c r="Y10" s="11">
        <v>-13</v>
      </c>
      <c r="Z10" s="18">
        <f t="shared" si="2"/>
        <v>-11</v>
      </c>
    </row>
    <row r="11" spans="2:26" ht="16" customHeight="1" x14ac:dyDescent="0.2">
      <c r="B11" s="39" t="s">
        <v>2</v>
      </c>
      <c r="C11" s="46">
        <v>40437</v>
      </c>
      <c r="D11" s="47">
        <v>19</v>
      </c>
      <c r="E11" s="58">
        <v>12</v>
      </c>
      <c r="F11" s="59">
        <f>'Clean Data PL'!E11/'Clean Data PL'!D11</f>
        <v>0.63157894736842102</v>
      </c>
      <c r="G11" s="58">
        <v>2.21</v>
      </c>
      <c r="H11" s="58">
        <v>27</v>
      </c>
      <c r="I11" s="58">
        <v>-3</v>
      </c>
      <c r="J11" s="49">
        <f t="shared" si="0"/>
        <v>30</v>
      </c>
      <c r="K11" s="22">
        <v>526</v>
      </c>
      <c r="L11" s="11">
        <v>19</v>
      </c>
      <c r="M11" s="11">
        <v>9</v>
      </c>
      <c r="N11" s="34">
        <f>'Clean Data PL'!M11/'Clean Data PL'!L11</f>
        <v>0.47368421052631576</v>
      </c>
      <c r="O11" s="11">
        <v>1.74</v>
      </c>
      <c r="P11" s="11">
        <v>13</v>
      </c>
      <c r="Q11" s="11">
        <v>9</v>
      </c>
      <c r="R11" s="18">
        <f t="shared" si="1"/>
        <v>4</v>
      </c>
      <c r="S11" s="17">
        <v>39524</v>
      </c>
      <c r="T11" s="11">
        <v>19</v>
      </c>
      <c r="U11" s="11">
        <v>11</v>
      </c>
      <c r="V11" s="34">
        <f>'Clean Data PL'!U11/'Clean Data PL'!T11</f>
        <v>0.57894736842105265</v>
      </c>
      <c r="W11" s="11">
        <v>1.95</v>
      </c>
      <c r="X11" s="11">
        <v>18</v>
      </c>
      <c r="Y11" s="11">
        <v>-4</v>
      </c>
      <c r="Z11" s="18">
        <f t="shared" si="2"/>
        <v>22</v>
      </c>
    </row>
    <row r="12" spans="2:26" ht="16" customHeight="1" x14ac:dyDescent="0.2">
      <c r="B12" s="39" t="s">
        <v>11</v>
      </c>
      <c r="C12" s="46">
        <v>25455</v>
      </c>
      <c r="D12" s="47">
        <v>19</v>
      </c>
      <c r="E12" s="58">
        <v>5</v>
      </c>
      <c r="F12" s="59">
        <f>'Clean Data PL'!E12/'Clean Data PL'!D12</f>
        <v>0.26315789473684209</v>
      </c>
      <c r="G12" s="58">
        <v>1.05</v>
      </c>
      <c r="H12" s="58">
        <v>-4</v>
      </c>
      <c r="I12" s="58">
        <v>2</v>
      </c>
      <c r="J12" s="49">
        <f t="shared" si="0"/>
        <v>-6</v>
      </c>
      <c r="K12" s="22">
        <v>447</v>
      </c>
      <c r="L12" s="11">
        <v>19</v>
      </c>
      <c r="M12" s="11">
        <v>6</v>
      </c>
      <c r="N12" s="34">
        <f>'Clean Data PL'!M12/'Clean Data PL'!L12</f>
        <v>0.31578947368421051</v>
      </c>
      <c r="O12" s="11">
        <v>1.21</v>
      </c>
      <c r="P12" s="11">
        <v>-12</v>
      </c>
      <c r="Q12" s="11">
        <v>-13</v>
      </c>
      <c r="R12" s="18">
        <f t="shared" si="1"/>
        <v>1</v>
      </c>
      <c r="S12" s="17">
        <v>24932</v>
      </c>
      <c r="T12" s="11">
        <v>19</v>
      </c>
      <c r="U12" s="11">
        <v>8</v>
      </c>
      <c r="V12" s="34">
        <f>'Clean Data PL'!U12/'Clean Data PL'!T12</f>
        <v>0.42105263157894735</v>
      </c>
      <c r="W12" s="11">
        <v>1.47</v>
      </c>
      <c r="X12" s="11">
        <v>11</v>
      </c>
      <c r="Y12" s="11">
        <v>-12</v>
      </c>
      <c r="Z12" s="18">
        <f t="shared" si="2"/>
        <v>23</v>
      </c>
    </row>
    <row r="13" spans="2:26" ht="16" customHeight="1" x14ac:dyDescent="0.2">
      <c r="B13" s="39" t="s">
        <v>7</v>
      </c>
      <c r="C13" s="46">
        <v>39043</v>
      </c>
      <c r="D13" s="47">
        <v>19</v>
      </c>
      <c r="E13" s="58">
        <v>10</v>
      </c>
      <c r="F13" s="59">
        <f>'Clean Data PL'!E13/'Clean Data PL'!D13</f>
        <v>0.52631578947368418</v>
      </c>
      <c r="G13" s="58">
        <v>1.79</v>
      </c>
      <c r="H13" s="58">
        <v>9</v>
      </c>
      <c r="I13" s="58">
        <v>-1</v>
      </c>
      <c r="J13" s="49">
        <f t="shared" si="0"/>
        <v>10</v>
      </c>
      <c r="K13" s="22">
        <v>368</v>
      </c>
      <c r="L13" s="11">
        <v>19</v>
      </c>
      <c r="M13" s="11">
        <v>6</v>
      </c>
      <c r="N13" s="34">
        <f>'Clean Data PL'!M13/'Clean Data PL'!L13</f>
        <v>0.31578947368421051</v>
      </c>
      <c r="O13" s="11">
        <v>1.1599999999999999</v>
      </c>
      <c r="P13" s="11">
        <v>-4</v>
      </c>
      <c r="Q13" s="11">
        <v>3</v>
      </c>
      <c r="R13" s="18">
        <f t="shared" si="1"/>
        <v>-7</v>
      </c>
      <c r="S13" s="17">
        <v>39042</v>
      </c>
      <c r="T13" s="11">
        <v>19</v>
      </c>
      <c r="U13" s="11">
        <v>8</v>
      </c>
      <c r="V13" s="34">
        <f>'Clean Data PL'!U13/'Clean Data PL'!T13</f>
        <v>0.42105263157894735</v>
      </c>
      <c r="W13" s="11">
        <v>1.47</v>
      </c>
      <c r="X13" s="11">
        <v>4</v>
      </c>
      <c r="Y13" s="11">
        <v>-15</v>
      </c>
      <c r="Z13" s="18">
        <f t="shared" si="2"/>
        <v>19</v>
      </c>
    </row>
    <row r="14" spans="2:26" ht="16" customHeight="1" x14ac:dyDescent="0.2">
      <c r="B14" s="39" t="s">
        <v>18</v>
      </c>
      <c r="C14" s="46">
        <v>24371</v>
      </c>
      <c r="D14" s="47">
        <v>19</v>
      </c>
      <c r="E14" s="58">
        <v>6</v>
      </c>
      <c r="F14" s="59">
        <f>'Clean Data PL'!E14/'Clean Data PL'!D14</f>
        <v>0.31578947368421051</v>
      </c>
      <c r="G14" s="58">
        <v>1.1100000000000001</v>
      </c>
      <c r="H14" s="58">
        <v>-14</v>
      </c>
      <c r="I14" s="58">
        <v>-33</v>
      </c>
      <c r="J14" s="49">
        <f t="shared" si="0"/>
        <v>19</v>
      </c>
      <c r="K14" s="22">
        <v>211</v>
      </c>
      <c r="L14" s="11">
        <v>19</v>
      </c>
      <c r="M14" s="11">
        <v>2</v>
      </c>
      <c r="N14" s="34">
        <f>'Clean Data PL'!M14/'Clean Data PL'!L14</f>
        <v>0.10526315789473684</v>
      </c>
      <c r="O14" s="11">
        <v>0.53</v>
      </c>
      <c r="P14" s="11">
        <v>-19</v>
      </c>
      <c r="Q14" s="11">
        <v>-7</v>
      </c>
      <c r="R14" s="18">
        <f t="shared" si="1"/>
        <v>-12</v>
      </c>
      <c r="S14" s="17">
        <v>24302</v>
      </c>
      <c r="T14" s="11">
        <v>19</v>
      </c>
      <c r="U14" s="11">
        <v>9</v>
      </c>
      <c r="V14" s="34">
        <f>'Clean Data PL'!U14/'Clean Data PL'!T14</f>
        <v>0.47368421052631576</v>
      </c>
      <c r="W14" s="11">
        <v>1.53</v>
      </c>
      <c r="X14" s="11">
        <v>7</v>
      </c>
      <c r="Y14" s="11">
        <v>-13</v>
      </c>
      <c r="Z14" s="18">
        <f t="shared" si="2"/>
        <v>20</v>
      </c>
    </row>
    <row r="15" spans="2:26" ht="16" customHeight="1" x14ac:dyDescent="0.2">
      <c r="B15" s="39" t="s">
        <v>1</v>
      </c>
      <c r="C15" s="46">
        <v>52983</v>
      </c>
      <c r="D15" s="47">
        <v>19</v>
      </c>
      <c r="E15" s="58">
        <v>17</v>
      </c>
      <c r="F15" s="59">
        <f>'Clean Data PL'!E15/'Clean Data PL'!D15</f>
        <v>0.89473684210526316</v>
      </c>
      <c r="G15" s="58">
        <v>2.79</v>
      </c>
      <c r="H15" s="58">
        <v>45</v>
      </c>
      <c r="I15" s="58">
        <v>22</v>
      </c>
      <c r="J15" s="49">
        <f t="shared" si="0"/>
        <v>23</v>
      </c>
      <c r="K15" s="22">
        <v>837</v>
      </c>
      <c r="L15" s="11">
        <v>19</v>
      </c>
      <c r="M15" s="11">
        <v>10</v>
      </c>
      <c r="N15" s="34">
        <f>'Clean Data PL'!M15/'Clean Data PL'!L15</f>
        <v>0.52631578947368418</v>
      </c>
      <c r="O15" s="11">
        <v>1.74</v>
      </c>
      <c r="P15" s="11">
        <v>9</v>
      </c>
      <c r="Q15" s="11">
        <v>17</v>
      </c>
      <c r="R15" s="18">
        <f t="shared" si="1"/>
        <v>-8</v>
      </c>
      <c r="S15" s="17">
        <v>55979</v>
      </c>
      <c r="T15" s="11">
        <v>19</v>
      </c>
      <c r="U15" s="11">
        <v>15</v>
      </c>
      <c r="V15" s="34">
        <f>'Clean Data PL'!U15/'Clean Data PL'!T15</f>
        <v>0.78947368421052633</v>
      </c>
      <c r="W15" s="11">
        <v>2.5299999999999998</v>
      </c>
      <c r="X15" s="11">
        <v>32</v>
      </c>
      <c r="Y15" s="11">
        <v>13</v>
      </c>
      <c r="Z15" s="18">
        <f t="shared" si="2"/>
        <v>19</v>
      </c>
    </row>
    <row r="16" spans="2:26" ht="16" customHeight="1" x14ac:dyDescent="0.2">
      <c r="B16" s="39" t="s">
        <v>0</v>
      </c>
      <c r="C16" s="46">
        <v>54130</v>
      </c>
      <c r="D16" s="47">
        <v>19</v>
      </c>
      <c r="E16" s="58">
        <v>18</v>
      </c>
      <c r="F16" s="59">
        <f>'Clean Data PL'!E16/'Clean Data PL'!D16</f>
        <v>0.94736842105263153</v>
      </c>
      <c r="G16" s="58">
        <v>2.84</v>
      </c>
      <c r="H16" s="58">
        <v>45</v>
      </c>
      <c r="I16" s="58">
        <v>27</v>
      </c>
      <c r="J16" s="49">
        <f t="shared" si="0"/>
        <v>18</v>
      </c>
      <c r="K16" s="22">
        <v>526</v>
      </c>
      <c r="L16" s="11">
        <v>19</v>
      </c>
      <c r="M16" s="11">
        <v>13</v>
      </c>
      <c r="N16" s="34">
        <f>'Clean Data PL'!M16/'Clean Data PL'!L16</f>
        <v>0.68421052631578949</v>
      </c>
      <c r="O16" s="11">
        <v>2.16</v>
      </c>
      <c r="P16" s="11">
        <v>26</v>
      </c>
      <c r="Q16" s="11">
        <v>25</v>
      </c>
      <c r="R16" s="18">
        <f t="shared" si="1"/>
        <v>1</v>
      </c>
      <c r="S16" s="17">
        <v>53012</v>
      </c>
      <c r="T16" s="11">
        <v>19</v>
      </c>
      <c r="U16" s="11">
        <v>14</v>
      </c>
      <c r="V16" s="34">
        <f>'Clean Data PL'!U16/'Clean Data PL'!T16</f>
        <v>0.73684210526315785</v>
      </c>
      <c r="W16" s="11">
        <v>2.4700000000000002</v>
      </c>
      <c r="X16" s="11">
        <v>35</v>
      </c>
      <c r="Y16" s="11">
        <v>27</v>
      </c>
      <c r="Z16" s="18">
        <f t="shared" si="2"/>
        <v>8</v>
      </c>
    </row>
    <row r="17" spans="2:26" ht="16" customHeight="1" x14ac:dyDescent="0.2">
      <c r="B17" s="39" t="s">
        <v>5</v>
      </c>
      <c r="C17" s="46">
        <v>74498</v>
      </c>
      <c r="D17" s="47">
        <v>19</v>
      </c>
      <c r="E17" s="58">
        <v>10</v>
      </c>
      <c r="F17" s="59">
        <f>'Clean Data PL'!E17/'Clean Data PL'!D17</f>
        <v>0.52631578947368418</v>
      </c>
      <c r="G17" s="58">
        <v>1.89</v>
      </c>
      <c r="H17" s="58">
        <v>8</v>
      </c>
      <c r="I17" s="58">
        <v>3</v>
      </c>
      <c r="J17" s="49">
        <f t="shared" si="0"/>
        <v>5</v>
      </c>
      <c r="K17" s="22">
        <v>526</v>
      </c>
      <c r="L17" s="11">
        <v>19</v>
      </c>
      <c r="M17" s="11">
        <v>9</v>
      </c>
      <c r="N17" s="34">
        <f>'Clean Data PL'!M17/'Clean Data PL'!L17</f>
        <v>0.47368421052631576</v>
      </c>
      <c r="O17" s="11">
        <v>1.63</v>
      </c>
      <c r="P17" s="11">
        <v>10</v>
      </c>
      <c r="Q17" s="11">
        <v>19</v>
      </c>
      <c r="R17" s="18">
        <f t="shared" si="1"/>
        <v>-9</v>
      </c>
      <c r="S17" s="17">
        <v>73533</v>
      </c>
      <c r="T17" s="11">
        <v>19</v>
      </c>
      <c r="U17" s="11">
        <v>10</v>
      </c>
      <c r="V17" s="34">
        <f>'Clean Data PL'!U17/'Clean Data PL'!T17</f>
        <v>0.52631578947368418</v>
      </c>
      <c r="W17" s="11">
        <v>1.74</v>
      </c>
      <c r="X17" s="11">
        <v>3</v>
      </c>
      <c r="Y17" s="11">
        <v>-4</v>
      </c>
      <c r="Z17" s="18">
        <f t="shared" si="2"/>
        <v>7</v>
      </c>
    </row>
    <row r="18" spans="2:26" ht="16" customHeight="1" x14ac:dyDescent="0.2">
      <c r="B18" s="39" t="s">
        <v>12</v>
      </c>
      <c r="C18" s="46">
        <v>51121</v>
      </c>
      <c r="D18" s="47">
        <v>19</v>
      </c>
      <c r="E18" s="58">
        <v>8</v>
      </c>
      <c r="F18" s="59">
        <f>'Clean Data PL'!E18/'Clean Data PL'!D18</f>
        <v>0.42105263157894735</v>
      </c>
      <c r="G18" s="58">
        <v>1.32</v>
      </c>
      <c r="H18" s="58">
        <v>-1</v>
      </c>
      <c r="I18" s="58">
        <v>-5</v>
      </c>
      <c r="J18" s="49">
        <f t="shared" si="0"/>
        <v>4</v>
      </c>
      <c r="K18" s="22">
        <v>526</v>
      </c>
      <c r="L18" s="11">
        <v>19</v>
      </c>
      <c r="M18" s="11">
        <v>6</v>
      </c>
      <c r="N18" s="34">
        <f>'Clean Data PL'!M18/'Clean Data PL'!L18</f>
        <v>0.31578947368421051</v>
      </c>
      <c r="O18" s="11">
        <v>1.21</v>
      </c>
      <c r="P18" s="11">
        <v>-7</v>
      </c>
      <c r="Q18" s="11">
        <v>-9</v>
      </c>
      <c r="R18" s="18">
        <f t="shared" si="1"/>
        <v>2</v>
      </c>
      <c r="S18" s="17">
        <v>52125</v>
      </c>
      <c r="T18" s="11">
        <v>19</v>
      </c>
      <c r="U18" s="11">
        <v>12</v>
      </c>
      <c r="V18" s="34">
        <f>'Clean Data PL'!U18/'Clean Data PL'!T18</f>
        <v>0.63157894736842102</v>
      </c>
      <c r="W18" s="11">
        <v>2.11</v>
      </c>
      <c r="X18" s="11">
        <v>27</v>
      </c>
      <c r="Y18" s="11">
        <v>-4</v>
      </c>
      <c r="Z18" s="18">
        <f t="shared" si="2"/>
        <v>31</v>
      </c>
    </row>
    <row r="19" spans="2:26" ht="16" customHeight="1" x14ac:dyDescent="0.2">
      <c r="B19" s="39" t="s">
        <v>3</v>
      </c>
      <c r="C19" s="46">
        <v>54216</v>
      </c>
      <c r="D19" s="47">
        <v>19</v>
      </c>
      <c r="E19" s="58">
        <v>12</v>
      </c>
      <c r="F19" s="59">
        <f>'Clean Data PL'!E19/'Clean Data PL'!D19</f>
        <v>0.63157894736842102</v>
      </c>
      <c r="G19" s="58">
        <v>2</v>
      </c>
      <c r="H19" s="58">
        <v>18</v>
      </c>
      <c r="I19" s="58">
        <v>10</v>
      </c>
      <c r="J19" s="49">
        <f t="shared" si="0"/>
        <v>8</v>
      </c>
      <c r="K19" s="22">
        <v>632</v>
      </c>
      <c r="L19" s="11">
        <v>19</v>
      </c>
      <c r="M19" s="11">
        <v>10</v>
      </c>
      <c r="N19" s="34">
        <f>'Clean Data PL'!M19/'Clean Data PL'!L19</f>
        <v>0.52631578947368418</v>
      </c>
      <c r="O19" s="11">
        <v>1.74</v>
      </c>
      <c r="P19" s="11">
        <v>15</v>
      </c>
      <c r="Q19" s="11">
        <v>8</v>
      </c>
      <c r="R19" s="18">
        <f t="shared" si="1"/>
        <v>7</v>
      </c>
      <c r="S19" s="17">
        <v>61482</v>
      </c>
      <c r="T19" s="11">
        <v>19</v>
      </c>
      <c r="U19" s="11">
        <v>13</v>
      </c>
      <c r="V19" s="34">
        <f>'Clean Data PL'!U19/'Clean Data PL'!T19</f>
        <v>0.68421052631578949</v>
      </c>
      <c r="W19" s="11">
        <v>2.0499999999999998</v>
      </c>
      <c r="X19" s="11">
        <v>11</v>
      </c>
      <c r="Y19" s="11">
        <v>2</v>
      </c>
      <c r="Z19" s="18">
        <f t="shared" si="2"/>
        <v>9</v>
      </c>
    </row>
    <row r="20" spans="2:26" ht="16" customHeight="1" x14ac:dyDescent="0.2">
      <c r="B20" s="39" t="s">
        <v>9</v>
      </c>
      <c r="C20" s="46">
        <v>58336</v>
      </c>
      <c r="D20" s="47">
        <v>19</v>
      </c>
      <c r="E20" s="58">
        <v>9</v>
      </c>
      <c r="F20" s="59">
        <f>'Clean Data PL'!E20/'Clean Data PL'!D20</f>
        <v>0.47368421052631576</v>
      </c>
      <c r="G20" s="58">
        <v>1.63</v>
      </c>
      <c r="H20" s="58">
        <v>5</v>
      </c>
      <c r="I20" s="58">
        <v>-8</v>
      </c>
      <c r="J20" s="49">
        <f t="shared" si="0"/>
        <v>13</v>
      </c>
      <c r="K20" s="22">
        <v>632</v>
      </c>
      <c r="L20" s="11">
        <v>19</v>
      </c>
      <c r="M20" s="11">
        <v>10</v>
      </c>
      <c r="N20" s="34">
        <f>'Clean Data PL'!M20/'Clean Data PL'!L20</f>
        <v>0.52631578947368418</v>
      </c>
      <c r="O20" s="11">
        <v>1.79</v>
      </c>
      <c r="P20" s="11">
        <v>10</v>
      </c>
      <c r="Q20" s="11">
        <v>5</v>
      </c>
      <c r="R20" s="18">
        <f t="shared" si="1"/>
        <v>5</v>
      </c>
      <c r="S20" s="17">
        <v>62567</v>
      </c>
      <c r="T20" s="11">
        <v>19</v>
      </c>
      <c r="U20" s="11">
        <v>7</v>
      </c>
      <c r="V20" s="34">
        <f>'Clean Data PL'!U20/'Clean Data PL'!T20</f>
        <v>0.36842105263157893</v>
      </c>
      <c r="W20" s="11">
        <v>1.53</v>
      </c>
      <c r="X20" s="11">
        <v>3</v>
      </c>
      <c r="Y20" s="11">
        <v>-17</v>
      </c>
      <c r="Z20" s="18">
        <f t="shared" si="2"/>
        <v>20</v>
      </c>
    </row>
    <row r="21" spans="2:26" ht="16" customHeight="1" x14ac:dyDescent="0.2">
      <c r="B21" s="40" t="s">
        <v>6</v>
      </c>
      <c r="C21" s="50">
        <v>31030</v>
      </c>
      <c r="D21" s="52">
        <v>19</v>
      </c>
      <c r="E21" s="60">
        <v>10</v>
      </c>
      <c r="F21" s="61">
        <f>'Clean Data PL'!E21/'Clean Data PL'!D21</f>
        <v>0.52631578947368418</v>
      </c>
      <c r="G21" s="60">
        <v>1.79</v>
      </c>
      <c r="H21" s="60">
        <v>7</v>
      </c>
      <c r="I21" s="60">
        <v>-6</v>
      </c>
      <c r="J21" s="53">
        <f t="shared" si="0"/>
        <v>13</v>
      </c>
      <c r="K21" s="23">
        <v>237</v>
      </c>
      <c r="L21" s="20">
        <v>19</v>
      </c>
      <c r="M21" s="20">
        <v>7</v>
      </c>
      <c r="N21" s="41">
        <f>'Clean Data PL'!M21/'Clean Data PL'!L21</f>
        <v>0.36842105263157893</v>
      </c>
      <c r="O21" s="20">
        <v>1.32</v>
      </c>
      <c r="P21" s="20">
        <v>-4</v>
      </c>
      <c r="Q21" s="20">
        <v>-12</v>
      </c>
      <c r="R21" s="21">
        <f t="shared" si="1"/>
        <v>8</v>
      </c>
      <c r="S21" s="19">
        <v>31029</v>
      </c>
      <c r="T21" s="20">
        <v>19</v>
      </c>
      <c r="U21" s="20">
        <v>8</v>
      </c>
      <c r="V21" s="41">
        <f>'Clean Data PL'!U21/'Clean Data PL'!T21</f>
        <v>0.42105263157894735</v>
      </c>
      <c r="W21" s="20">
        <v>1.42</v>
      </c>
      <c r="X21" s="20">
        <v>-4</v>
      </c>
      <c r="Y21" s="20">
        <v>-11</v>
      </c>
      <c r="Z21" s="21">
        <f t="shared" ref="Z21" si="3">X21-Y21</f>
        <v>7</v>
      </c>
    </row>
    <row r="22" spans="2:26" ht="16" customHeight="1" x14ac:dyDescent="0.2">
      <c r="E22" s="7"/>
      <c r="F22" s="7"/>
      <c r="G22" s="7"/>
      <c r="H22" s="7"/>
      <c r="I22" s="7"/>
      <c r="J22" s="15"/>
      <c r="N22" s="31"/>
    </row>
    <row r="23" spans="2:26" ht="16" customHeight="1" x14ac:dyDescent="0.2">
      <c r="E23" s="7"/>
      <c r="F23" s="7"/>
      <c r="G23" s="7"/>
      <c r="H23" s="7"/>
      <c r="I23" s="7"/>
      <c r="J23" s="15"/>
      <c r="N23" s="31"/>
    </row>
    <row r="24" spans="2:26" ht="16" customHeight="1" x14ac:dyDescent="0.2">
      <c r="E24" s="7"/>
      <c r="F24" s="7"/>
      <c r="G24" s="7"/>
      <c r="H24" s="7"/>
      <c r="I24" s="7"/>
      <c r="J24" s="15"/>
      <c r="N24" s="31"/>
    </row>
    <row r="25" spans="2:26" ht="16" customHeight="1" x14ac:dyDescent="0.2">
      <c r="E25" s="7"/>
      <c r="F25" s="7"/>
      <c r="G25" s="7"/>
      <c r="H25" s="7"/>
      <c r="I25" s="7"/>
      <c r="J25" s="15"/>
      <c r="N25" s="31"/>
    </row>
    <row r="26" spans="2:26" ht="16" customHeight="1" x14ac:dyDescent="0.2">
      <c r="B26" s="31" t="s">
        <v>83</v>
      </c>
      <c r="E26" s="7"/>
      <c r="F26" s="7"/>
      <c r="G26" s="7"/>
      <c r="H26" s="7"/>
      <c r="I26" s="7"/>
      <c r="J26" s="15"/>
      <c r="N26" s="31"/>
    </row>
    <row r="27" spans="2:26" ht="16" customHeight="1" x14ac:dyDescent="0.2">
      <c r="E27" s="7"/>
      <c r="F27" s="7"/>
      <c r="G27" s="7"/>
      <c r="H27" s="7"/>
      <c r="I27" s="7"/>
      <c r="J27" s="15"/>
      <c r="N27" s="31"/>
    </row>
    <row r="28" spans="2:26" x14ac:dyDescent="0.2">
      <c r="B28" s="83" t="s">
        <v>38</v>
      </c>
      <c r="C28" s="16" t="s">
        <v>21</v>
      </c>
      <c r="D28" s="42" t="s">
        <v>37</v>
      </c>
      <c r="E28" s="42" t="s">
        <v>22</v>
      </c>
      <c r="F28" s="42" t="s">
        <v>23</v>
      </c>
      <c r="G28" s="42" t="s">
        <v>78</v>
      </c>
      <c r="H28" s="42" t="s">
        <v>30</v>
      </c>
      <c r="I28" s="42" t="s">
        <v>76</v>
      </c>
      <c r="J28" s="42" t="s">
        <v>77</v>
      </c>
      <c r="K28" s="43" t="s">
        <v>81</v>
      </c>
    </row>
    <row r="29" spans="2:26" x14ac:dyDescent="0.2">
      <c r="B29" s="83"/>
      <c r="C29" s="25" t="s">
        <v>4</v>
      </c>
      <c r="D29" s="10">
        <v>59899</v>
      </c>
      <c r="E29" s="11">
        <v>19</v>
      </c>
      <c r="F29" s="11">
        <v>14</v>
      </c>
      <c r="G29" s="27">
        <f>'Clean Data PL'!F29/'Clean Data PL'!E29</f>
        <v>0.73684210526315785</v>
      </c>
      <c r="H29" s="11">
        <v>2.37</v>
      </c>
      <c r="I29" s="11">
        <v>26</v>
      </c>
      <c r="J29" s="11">
        <v>-4</v>
      </c>
      <c r="K29" s="37">
        <f t="shared" ref="K29:K48" si="4">I29-J29</f>
        <v>30</v>
      </c>
    </row>
    <row r="30" spans="2:26" x14ac:dyDescent="0.2">
      <c r="B30" s="83"/>
      <c r="C30" s="25" t="s">
        <v>13</v>
      </c>
      <c r="D30" s="10">
        <v>10532</v>
      </c>
      <c r="E30" s="11">
        <v>19</v>
      </c>
      <c r="F30" s="11">
        <v>8</v>
      </c>
      <c r="G30" s="27">
        <f>'Clean Data PL'!F30/'Clean Data PL'!E30</f>
        <v>0.42105263157894735</v>
      </c>
      <c r="H30" s="11">
        <v>1.53</v>
      </c>
      <c r="I30" s="11">
        <v>5</v>
      </c>
      <c r="J30" s="11">
        <v>-19</v>
      </c>
      <c r="K30" s="37">
        <f t="shared" si="4"/>
        <v>24</v>
      </c>
    </row>
    <row r="31" spans="2:26" x14ac:dyDescent="0.2">
      <c r="B31" s="83"/>
      <c r="C31" s="25" t="s">
        <v>16</v>
      </c>
      <c r="D31" s="10">
        <v>30426</v>
      </c>
      <c r="E31" s="11">
        <v>19</v>
      </c>
      <c r="F31" s="11">
        <v>6</v>
      </c>
      <c r="G31" s="27">
        <f>'Clean Data PL'!F31/'Clean Data PL'!E31</f>
        <v>0.31578947368421051</v>
      </c>
      <c r="H31" s="11">
        <v>1.21</v>
      </c>
      <c r="I31" s="11">
        <v>-9</v>
      </c>
      <c r="J31" s="11">
        <v>-16</v>
      </c>
      <c r="K31" s="37">
        <f t="shared" si="4"/>
        <v>7</v>
      </c>
    </row>
    <row r="32" spans="2:26" x14ac:dyDescent="0.2">
      <c r="B32" s="83"/>
      <c r="C32" s="25" t="s">
        <v>14</v>
      </c>
      <c r="D32" s="10">
        <v>20534</v>
      </c>
      <c r="E32" s="11">
        <v>19</v>
      </c>
      <c r="F32" s="11">
        <v>7</v>
      </c>
      <c r="G32" s="27">
        <f>'Clean Data PL'!F32/'Clean Data PL'!E32</f>
        <v>0.36842105263157893</v>
      </c>
      <c r="H32" s="11">
        <v>1.21</v>
      </c>
      <c r="I32" s="11">
        <v>-8</v>
      </c>
      <c r="J32" s="11">
        <v>-15</v>
      </c>
      <c r="K32" s="37">
        <f t="shared" si="4"/>
        <v>7</v>
      </c>
    </row>
    <row r="33" spans="2:11" x14ac:dyDescent="0.2">
      <c r="B33" s="83"/>
      <c r="C33" s="25" t="s">
        <v>17</v>
      </c>
      <c r="D33" s="10">
        <v>31408</v>
      </c>
      <c r="E33" s="11">
        <v>19</v>
      </c>
      <c r="F33" s="11">
        <v>6</v>
      </c>
      <c r="G33" s="27">
        <f>'Clean Data PL'!F33/'Clean Data PL'!E33</f>
        <v>0.31578947368421051</v>
      </c>
      <c r="H33" s="11">
        <v>1.05</v>
      </c>
      <c r="I33" s="11">
        <v>-17</v>
      </c>
      <c r="J33" s="11">
        <v>-18</v>
      </c>
      <c r="K33" s="37">
        <f t="shared" si="4"/>
        <v>1</v>
      </c>
    </row>
    <row r="34" spans="2:11" x14ac:dyDescent="0.2">
      <c r="B34" s="83"/>
      <c r="C34" s="25" t="s">
        <v>2</v>
      </c>
      <c r="D34" s="10">
        <v>40437</v>
      </c>
      <c r="E34" s="11">
        <v>19</v>
      </c>
      <c r="F34" s="11">
        <v>12</v>
      </c>
      <c r="G34" s="27">
        <f>'Clean Data PL'!F34/'Clean Data PL'!E34</f>
        <v>0.63157894736842102</v>
      </c>
      <c r="H34" s="11">
        <v>2.21</v>
      </c>
      <c r="I34" s="11">
        <v>27</v>
      </c>
      <c r="J34" s="11">
        <v>-3</v>
      </c>
      <c r="K34" s="37">
        <f t="shared" si="4"/>
        <v>30</v>
      </c>
    </row>
    <row r="35" spans="2:11" x14ac:dyDescent="0.2">
      <c r="B35" s="83"/>
      <c r="C35" s="25" t="s">
        <v>11</v>
      </c>
      <c r="D35" s="10">
        <v>25455</v>
      </c>
      <c r="E35" s="11">
        <v>19</v>
      </c>
      <c r="F35" s="11">
        <v>5</v>
      </c>
      <c r="G35" s="27">
        <f>'Clean Data PL'!F35/'Clean Data PL'!E35</f>
        <v>0.26315789473684209</v>
      </c>
      <c r="H35" s="11">
        <v>1.05</v>
      </c>
      <c r="I35" s="11">
        <v>-4</v>
      </c>
      <c r="J35" s="11">
        <v>2</v>
      </c>
      <c r="K35" s="37">
        <f t="shared" si="4"/>
        <v>-6</v>
      </c>
    </row>
    <row r="36" spans="2:11" x14ac:dyDescent="0.2">
      <c r="B36" s="83"/>
      <c r="C36" s="25" t="s">
        <v>7</v>
      </c>
      <c r="D36" s="10">
        <v>39043</v>
      </c>
      <c r="E36" s="11">
        <v>19</v>
      </c>
      <c r="F36" s="11">
        <v>10</v>
      </c>
      <c r="G36" s="27">
        <f>'Clean Data PL'!F36/'Clean Data PL'!E36</f>
        <v>0.52631578947368418</v>
      </c>
      <c r="H36" s="11">
        <v>1.79</v>
      </c>
      <c r="I36" s="11">
        <v>9</v>
      </c>
      <c r="J36" s="11">
        <v>-1</v>
      </c>
      <c r="K36" s="37">
        <f t="shared" si="4"/>
        <v>10</v>
      </c>
    </row>
    <row r="37" spans="2:11" x14ac:dyDescent="0.2">
      <c r="B37" s="83"/>
      <c r="C37" s="25" t="s">
        <v>18</v>
      </c>
      <c r="D37" s="10">
        <v>24371</v>
      </c>
      <c r="E37" s="11">
        <v>19</v>
      </c>
      <c r="F37" s="11">
        <v>6</v>
      </c>
      <c r="G37" s="27">
        <f>'Clean Data PL'!F37/'Clean Data PL'!E37</f>
        <v>0.31578947368421051</v>
      </c>
      <c r="H37" s="11">
        <v>1.1100000000000001</v>
      </c>
      <c r="I37" s="11">
        <v>-14</v>
      </c>
      <c r="J37" s="11">
        <v>-33</v>
      </c>
      <c r="K37" s="37">
        <f t="shared" si="4"/>
        <v>19</v>
      </c>
    </row>
    <row r="38" spans="2:11" x14ac:dyDescent="0.2">
      <c r="B38" s="83"/>
      <c r="C38" s="25" t="s">
        <v>19</v>
      </c>
      <c r="D38" s="10">
        <v>23203</v>
      </c>
      <c r="E38" s="11">
        <v>19</v>
      </c>
      <c r="F38" s="11">
        <v>2</v>
      </c>
      <c r="G38" s="27">
        <f>'Clean Data PL'!F38/'Clean Data PL'!E38</f>
        <v>0.10526315789473684</v>
      </c>
      <c r="H38" s="11">
        <v>0.47</v>
      </c>
      <c r="I38" s="11">
        <v>-21</v>
      </c>
      <c r="J38" s="11">
        <v>-33</v>
      </c>
      <c r="K38" s="37">
        <f t="shared" si="4"/>
        <v>12</v>
      </c>
    </row>
    <row r="39" spans="2:11" x14ac:dyDescent="0.2">
      <c r="B39" s="83"/>
      <c r="C39" s="25" t="s">
        <v>8</v>
      </c>
      <c r="D39" s="10">
        <v>31851</v>
      </c>
      <c r="E39" s="11">
        <v>19</v>
      </c>
      <c r="F39" s="11">
        <v>8</v>
      </c>
      <c r="G39" s="27">
        <f>'Clean Data PL'!F39/'Clean Data PL'!E39</f>
        <v>0.42105263157894735</v>
      </c>
      <c r="H39" s="11">
        <v>1.42</v>
      </c>
      <c r="I39" s="11">
        <v>4</v>
      </c>
      <c r="J39" s="11">
        <v>-1</v>
      </c>
      <c r="K39" s="37">
        <f t="shared" si="4"/>
        <v>5</v>
      </c>
    </row>
    <row r="40" spans="2:11" x14ac:dyDescent="0.2">
      <c r="B40" s="83"/>
      <c r="C40" s="25" t="s">
        <v>1</v>
      </c>
      <c r="D40" s="10">
        <v>52983</v>
      </c>
      <c r="E40" s="11">
        <v>19</v>
      </c>
      <c r="F40" s="11">
        <v>17</v>
      </c>
      <c r="G40" s="27">
        <f>'Clean Data PL'!F40/'Clean Data PL'!E40</f>
        <v>0.89473684210526316</v>
      </c>
      <c r="H40" s="11">
        <v>2.79</v>
      </c>
      <c r="I40" s="11">
        <v>45</v>
      </c>
      <c r="J40" s="11">
        <v>22</v>
      </c>
      <c r="K40" s="37">
        <f t="shared" si="4"/>
        <v>23</v>
      </c>
    </row>
    <row r="41" spans="2:11" x14ac:dyDescent="0.2">
      <c r="B41" s="83"/>
      <c r="C41" s="25" t="s">
        <v>0</v>
      </c>
      <c r="D41" s="10">
        <v>54130</v>
      </c>
      <c r="E41" s="11">
        <v>19</v>
      </c>
      <c r="F41" s="11">
        <v>18</v>
      </c>
      <c r="G41" s="27">
        <f>'Clean Data PL'!F41/'Clean Data PL'!E41</f>
        <v>0.94736842105263153</v>
      </c>
      <c r="H41" s="11">
        <v>2.84</v>
      </c>
      <c r="I41" s="11">
        <v>45</v>
      </c>
      <c r="J41" s="11">
        <v>27</v>
      </c>
      <c r="K41" s="37">
        <f t="shared" si="4"/>
        <v>18</v>
      </c>
    </row>
    <row r="42" spans="2:11" x14ac:dyDescent="0.2">
      <c r="B42" s="83"/>
      <c r="C42" s="25" t="s">
        <v>5</v>
      </c>
      <c r="D42" s="10">
        <v>74498</v>
      </c>
      <c r="E42" s="11">
        <v>19</v>
      </c>
      <c r="F42" s="11">
        <v>10</v>
      </c>
      <c r="G42" s="27">
        <f>'Clean Data PL'!F42/'Clean Data PL'!E42</f>
        <v>0.52631578947368418</v>
      </c>
      <c r="H42" s="11">
        <v>1.89</v>
      </c>
      <c r="I42" s="11">
        <v>8</v>
      </c>
      <c r="J42" s="11">
        <v>3</v>
      </c>
      <c r="K42" s="37">
        <f t="shared" si="4"/>
        <v>5</v>
      </c>
    </row>
    <row r="43" spans="2:11" x14ac:dyDescent="0.2">
      <c r="B43" s="83"/>
      <c r="C43" s="25" t="s">
        <v>12</v>
      </c>
      <c r="D43" s="10">
        <v>51121</v>
      </c>
      <c r="E43" s="11">
        <v>19</v>
      </c>
      <c r="F43" s="11">
        <v>8</v>
      </c>
      <c r="G43" s="27">
        <f>'Clean Data PL'!F43/'Clean Data PL'!E43</f>
        <v>0.42105263157894735</v>
      </c>
      <c r="H43" s="11">
        <v>1.32</v>
      </c>
      <c r="I43" s="11">
        <v>-1</v>
      </c>
      <c r="J43" s="11">
        <v>-5</v>
      </c>
      <c r="K43" s="37">
        <f t="shared" si="4"/>
        <v>4</v>
      </c>
    </row>
    <row r="44" spans="2:11" x14ac:dyDescent="0.2">
      <c r="B44" s="83"/>
      <c r="C44" s="25" t="s">
        <v>15</v>
      </c>
      <c r="D44" s="10">
        <v>30139</v>
      </c>
      <c r="E44" s="11">
        <v>19</v>
      </c>
      <c r="F44" s="11">
        <v>5</v>
      </c>
      <c r="G44" s="27">
        <f>'Clean Data PL'!F44/'Clean Data PL'!E44</f>
        <v>0.26315789473684209</v>
      </c>
      <c r="H44" s="11">
        <v>1.21</v>
      </c>
      <c r="I44" s="11">
        <v>-3</v>
      </c>
      <c r="J44" s="11">
        <v>-17</v>
      </c>
      <c r="K44" s="37">
        <f t="shared" si="4"/>
        <v>14</v>
      </c>
    </row>
    <row r="45" spans="2:11" x14ac:dyDescent="0.2">
      <c r="B45" s="83"/>
      <c r="C45" s="25" t="s">
        <v>3</v>
      </c>
      <c r="D45" s="10">
        <v>54216</v>
      </c>
      <c r="E45" s="11">
        <v>19</v>
      </c>
      <c r="F45" s="11">
        <v>12</v>
      </c>
      <c r="G45" s="27">
        <f>'Clean Data PL'!F45/'Clean Data PL'!E45</f>
        <v>0.63157894736842102</v>
      </c>
      <c r="H45" s="11">
        <v>2</v>
      </c>
      <c r="I45" s="11">
        <v>18</v>
      </c>
      <c r="J45" s="11">
        <v>10</v>
      </c>
      <c r="K45" s="37">
        <f t="shared" si="4"/>
        <v>8</v>
      </c>
    </row>
    <row r="46" spans="2:11" x14ac:dyDescent="0.2">
      <c r="B46" s="83"/>
      <c r="C46" s="25" t="s">
        <v>10</v>
      </c>
      <c r="D46" s="10">
        <v>20016</v>
      </c>
      <c r="E46" s="11">
        <v>19</v>
      </c>
      <c r="F46" s="11">
        <v>8</v>
      </c>
      <c r="G46" s="27">
        <f>'Clean Data PL'!F46/'Clean Data PL'!E46</f>
        <v>0.42105263157894735</v>
      </c>
      <c r="H46" s="11">
        <v>1.42</v>
      </c>
      <c r="I46" s="11">
        <v>-2</v>
      </c>
      <c r="J46" s="11">
        <v>-5</v>
      </c>
      <c r="K46" s="37">
        <f t="shared" si="4"/>
        <v>3</v>
      </c>
    </row>
    <row r="47" spans="2:11" x14ac:dyDescent="0.2">
      <c r="B47" s="83"/>
      <c r="C47" s="25" t="s">
        <v>9</v>
      </c>
      <c r="D47" s="10">
        <v>58336</v>
      </c>
      <c r="E47" s="11">
        <v>19</v>
      </c>
      <c r="F47" s="11">
        <v>9</v>
      </c>
      <c r="G47" s="27">
        <f>'Clean Data PL'!F47/'Clean Data PL'!E47</f>
        <v>0.47368421052631576</v>
      </c>
      <c r="H47" s="11">
        <v>1.63</v>
      </c>
      <c r="I47" s="11">
        <v>5</v>
      </c>
      <c r="J47" s="11">
        <v>-8</v>
      </c>
      <c r="K47" s="37">
        <f t="shared" si="4"/>
        <v>13</v>
      </c>
    </row>
    <row r="48" spans="2:11" x14ac:dyDescent="0.2">
      <c r="B48" s="83"/>
      <c r="C48" s="30" t="s">
        <v>6</v>
      </c>
      <c r="D48" s="12">
        <v>31030</v>
      </c>
      <c r="E48" s="13">
        <v>19</v>
      </c>
      <c r="F48" s="13">
        <v>10</v>
      </c>
      <c r="G48" s="44">
        <f>'Clean Data PL'!F48/'Clean Data PL'!E48</f>
        <v>0.52631578947368418</v>
      </c>
      <c r="H48" s="13">
        <v>1.79</v>
      </c>
      <c r="I48" s="13">
        <v>7</v>
      </c>
      <c r="J48" s="13">
        <v>-6</v>
      </c>
      <c r="K48" s="38">
        <f t="shared" si="4"/>
        <v>13</v>
      </c>
    </row>
    <row r="50" spans="2:11" x14ac:dyDescent="0.2">
      <c r="B50" s="77" t="s">
        <v>42</v>
      </c>
      <c r="C50" s="16" t="s">
        <v>21</v>
      </c>
      <c r="D50" s="42" t="s">
        <v>37</v>
      </c>
      <c r="E50" s="42" t="s">
        <v>22</v>
      </c>
      <c r="F50" s="42" t="s">
        <v>23</v>
      </c>
      <c r="G50" s="42" t="s">
        <v>78</v>
      </c>
      <c r="H50" s="42" t="s">
        <v>30</v>
      </c>
      <c r="I50" s="42" t="s">
        <v>76</v>
      </c>
      <c r="J50" s="42" t="s">
        <v>77</v>
      </c>
      <c r="K50" s="43" t="s">
        <v>81</v>
      </c>
    </row>
    <row r="51" spans="2:11" x14ac:dyDescent="0.2">
      <c r="B51" s="77"/>
      <c r="C51" s="25" t="s">
        <v>4</v>
      </c>
      <c r="D51" s="11">
        <v>632</v>
      </c>
      <c r="E51" s="11">
        <v>19</v>
      </c>
      <c r="F51" s="11">
        <v>8</v>
      </c>
      <c r="G51" s="27">
        <f>'Clean Data PL'!F51/'Clean Data PL'!E51</f>
        <v>0.42105263157894735</v>
      </c>
      <c r="H51" s="11">
        <v>1.47</v>
      </c>
      <c r="I51" s="11">
        <v>3</v>
      </c>
      <c r="J51" s="11">
        <v>13</v>
      </c>
      <c r="K51" s="37">
        <f t="shared" ref="K51:K70" si="5">I51-J51</f>
        <v>-10</v>
      </c>
    </row>
    <row r="52" spans="2:11" x14ac:dyDescent="0.2">
      <c r="B52" s="77"/>
      <c r="C52" s="25" t="s">
        <v>40</v>
      </c>
      <c r="D52" s="11">
        <v>526</v>
      </c>
      <c r="E52" s="11">
        <v>19</v>
      </c>
      <c r="F52" s="11">
        <v>7</v>
      </c>
      <c r="G52" s="27">
        <f>'Clean Data PL'!F52/'Clean Data PL'!E52</f>
        <v>0.36842105263157893</v>
      </c>
      <c r="H52" s="11">
        <v>1.32</v>
      </c>
      <c r="I52" s="11">
        <v>2</v>
      </c>
      <c r="J52" s="11">
        <v>7</v>
      </c>
      <c r="K52" s="37">
        <f t="shared" si="5"/>
        <v>-5</v>
      </c>
    </row>
    <row r="53" spans="2:11" x14ac:dyDescent="0.2">
      <c r="B53" s="77"/>
      <c r="C53" s="25" t="s">
        <v>16</v>
      </c>
      <c r="D53" s="11">
        <v>523</v>
      </c>
      <c r="E53" s="11">
        <v>19</v>
      </c>
      <c r="F53" s="11">
        <v>4</v>
      </c>
      <c r="G53" s="27">
        <f>'Clean Data PL'!F53/'Clean Data PL'!E53</f>
        <v>0.21052631578947367</v>
      </c>
      <c r="H53" s="11">
        <v>1.1100000000000001</v>
      </c>
      <c r="I53" s="11">
        <v>0</v>
      </c>
      <c r="J53" s="11">
        <v>-6</v>
      </c>
      <c r="K53" s="37">
        <f t="shared" si="5"/>
        <v>6</v>
      </c>
    </row>
    <row r="54" spans="2:11" x14ac:dyDescent="0.2">
      <c r="B54" s="77"/>
      <c r="C54" s="25" t="s">
        <v>14</v>
      </c>
      <c r="D54" s="11">
        <v>178</v>
      </c>
      <c r="E54" s="11">
        <v>19</v>
      </c>
      <c r="F54" s="11">
        <v>4</v>
      </c>
      <c r="G54" s="27">
        <f>'Clean Data PL'!F54/'Clean Data PL'!E54</f>
        <v>0.21052631578947367</v>
      </c>
      <c r="H54" s="11">
        <v>0.95</v>
      </c>
      <c r="I54" s="11">
        <v>-13</v>
      </c>
      <c r="J54" s="11">
        <v>-9</v>
      </c>
      <c r="K54" s="37">
        <f t="shared" si="5"/>
        <v>-4</v>
      </c>
    </row>
    <row r="55" spans="2:11" x14ac:dyDescent="0.2">
      <c r="B55" s="77"/>
      <c r="C55" s="25" t="s">
        <v>2</v>
      </c>
      <c r="D55" s="11">
        <v>526</v>
      </c>
      <c r="E55" s="11">
        <v>19</v>
      </c>
      <c r="F55" s="11">
        <v>9</v>
      </c>
      <c r="G55" s="27">
        <f>'Clean Data PL'!F55/'Clean Data PL'!E55</f>
        <v>0.47368421052631576</v>
      </c>
      <c r="H55" s="11">
        <v>1.74</v>
      </c>
      <c r="I55" s="11">
        <v>13</v>
      </c>
      <c r="J55" s="11">
        <v>9</v>
      </c>
      <c r="K55" s="37">
        <f t="shared" si="5"/>
        <v>4</v>
      </c>
    </row>
    <row r="56" spans="2:11" x14ac:dyDescent="0.2">
      <c r="B56" s="77"/>
      <c r="C56" s="25" t="s">
        <v>11</v>
      </c>
      <c r="D56" s="11">
        <v>447</v>
      </c>
      <c r="E56" s="11">
        <v>19</v>
      </c>
      <c r="F56" s="11">
        <v>6</v>
      </c>
      <c r="G56" s="27">
        <f>'Clean Data PL'!F56/'Clean Data PL'!E56</f>
        <v>0.31578947368421051</v>
      </c>
      <c r="H56" s="11">
        <v>1.21</v>
      </c>
      <c r="I56" s="11">
        <v>-12</v>
      </c>
      <c r="J56" s="11">
        <v>-13</v>
      </c>
      <c r="K56" s="37">
        <f t="shared" si="5"/>
        <v>1</v>
      </c>
    </row>
    <row r="57" spans="2:11" x14ac:dyDescent="0.2">
      <c r="B57" s="77"/>
      <c r="C57" s="25" t="s">
        <v>7</v>
      </c>
      <c r="D57" s="11">
        <v>368</v>
      </c>
      <c r="E57" s="11">
        <v>19</v>
      </c>
      <c r="F57" s="11">
        <v>6</v>
      </c>
      <c r="G57" s="27">
        <f>'Clean Data PL'!F57/'Clean Data PL'!E57</f>
        <v>0.31578947368421051</v>
      </c>
      <c r="H57" s="11">
        <v>1.1599999999999999</v>
      </c>
      <c r="I57" s="11">
        <v>-4</v>
      </c>
      <c r="J57" s="11">
        <v>3</v>
      </c>
      <c r="K57" s="37">
        <f t="shared" si="5"/>
        <v>-7</v>
      </c>
    </row>
    <row r="58" spans="2:11" x14ac:dyDescent="0.2">
      <c r="B58" s="77"/>
      <c r="C58" s="25" t="s">
        <v>18</v>
      </c>
      <c r="D58" s="11">
        <v>211</v>
      </c>
      <c r="E58" s="11">
        <v>19</v>
      </c>
      <c r="F58" s="11">
        <v>2</v>
      </c>
      <c r="G58" s="27">
        <f>'Clean Data PL'!F58/'Clean Data PL'!E58</f>
        <v>0.10526315789473684</v>
      </c>
      <c r="H58" s="11">
        <v>0.53</v>
      </c>
      <c r="I58" s="11">
        <v>-19</v>
      </c>
      <c r="J58" s="11">
        <v>-7</v>
      </c>
      <c r="K58" s="37">
        <f t="shared" si="5"/>
        <v>-12</v>
      </c>
    </row>
    <row r="59" spans="2:11" x14ac:dyDescent="0.2">
      <c r="B59" s="77"/>
      <c r="C59" s="25" t="s">
        <v>43</v>
      </c>
      <c r="D59" s="11">
        <v>421</v>
      </c>
      <c r="E59" s="11">
        <v>19</v>
      </c>
      <c r="F59" s="11">
        <v>8</v>
      </c>
      <c r="G59" s="27">
        <f>'Clean Data PL'!F59/'Clean Data PL'!E59</f>
        <v>0.42105263157894735</v>
      </c>
      <c r="H59" s="11">
        <v>1.53</v>
      </c>
      <c r="I59" s="11">
        <v>7</v>
      </c>
      <c r="J59" s="11">
        <v>1</v>
      </c>
      <c r="K59" s="37">
        <f t="shared" si="5"/>
        <v>6</v>
      </c>
    </row>
    <row r="60" spans="2:11" x14ac:dyDescent="0.2">
      <c r="B60" s="77"/>
      <c r="C60" s="25" t="s">
        <v>8</v>
      </c>
      <c r="D60" s="11">
        <v>421</v>
      </c>
      <c r="E60" s="11">
        <v>19</v>
      </c>
      <c r="F60" s="11">
        <v>9</v>
      </c>
      <c r="G60" s="27">
        <f>'Clean Data PL'!F60/'Clean Data PL'!E60</f>
        <v>0.47368421052631576</v>
      </c>
      <c r="H60" s="11">
        <v>1.47</v>
      </c>
      <c r="I60" s="11">
        <v>4</v>
      </c>
      <c r="J60" s="11">
        <v>14</v>
      </c>
      <c r="K60" s="37">
        <f t="shared" si="5"/>
        <v>-10</v>
      </c>
    </row>
    <row r="61" spans="2:11" x14ac:dyDescent="0.2">
      <c r="B61" s="77"/>
      <c r="C61" s="25" t="s">
        <v>1</v>
      </c>
      <c r="D61" s="11">
        <v>837</v>
      </c>
      <c r="E61" s="11">
        <v>19</v>
      </c>
      <c r="F61" s="11">
        <v>10</v>
      </c>
      <c r="G61" s="27">
        <f>'Clean Data PL'!F61/'Clean Data PL'!E61</f>
        <v>0.52631578947368418</v>
      </c>
      <c r="H61" s="11">
        <v>1.74</v>
      </c>
      <c r="I61" s="11">
        <v>9</v>
      </c>
      <c r="J61" s="11">
        <v>17</v>
      </c>
      <c r="K61" s="37">
        <f t="shared" si="5"/>
        <v>-8</v>
      </c>
    </row>
    <row r="62" spans="2:11" x14ac:dyDescent="0.2">
      <c r="B62" s="77"/>
      <c r="C62" s="25" t="s">
        <v>0</v>
      </c>
      <c r="D62" s="11">
        <v>526</v>
      </c>
      <c r="E62" s="11">
        <v>19</v>
      </c>
      <c r="F62" s="11">
        <v>13</v>
      </c>
      <c r="G62" s="27">
        <f>'Clean Data PL'!F62/'Clean Data PL'!E62</f>
        <v>0.68421052631578949</v>
      </c>
      <c r="H62" s="11">
        <v>2.16</v>
      </c>
      <c r="I62" s="11">
        <v>26</v>
      </c>
      <c r="J62" s="11">
        <v>25</v>
      </c>
      <c r="K62" s="37">
        <f t="shared" si="5"/>
        <v>1</v>
      </c>
    </row>
    <row r="63" spans="2:11" x14ac:dyDescent="0.2">
      <c r="B63" s="77"/>
      <c r="C63" s="25" t="s">
        <v>5</v>
      </c>
      <c r="D63" s="11">
        <v>526</v>
      </c>
      <c r="E63" s="11">
        <v>19</v>
      </c>
      <c r="F63" s="11">
        <v>9</v>
      </c>
      <c r="G63" s="27">
        <f>'Clean Data PL'!F63/'Clean Data PL'!E63</f>
        <v>0.47368421052631576</v>
      </c>
      <c r="H63" s="11">
        <v>1.63</v>
      </c>
      <c r="I63" s="11">
        <v>10</v>
      </c>
      <c r="J63" s="11">
        <v>19</v>
      </c>
      <c r="K63" s="37">
        <f t="shared" si="5"/>
        <v>-9</v>
      </c>
    </row>
    <row r="64" spans="2:11" x14ac:dyDescent="0.2">
      <c r="B64" s="77"/>
      <c r="C64" s="25" t="s">
        <v>12</v>
      </c>
      <c r="D64" s="11">
        <v>526</v>
      </c>
      <c r="E64" s="11">
        <v>19</v>
      </c>
      <c r="F64" s="11">
        <v>6</v>
      </c>
      <c r="G64" s="27">
        <f>'Clean Data PL'!F64/'Clean Data PL'!E64</f>
        <v>0.31578947368421051</v>
      </c>
      <c r="H64" s="11">
        <v>1.21</v>
      </c>
      <c r="I64" s="11">
        <v>-7</v>
      </c>
      <c r="J64" s="11">
        <v>-9</v>
      </c>
      <c r="K64" s="37">
        <f t="shared" si="5"/>
        <v>2</v>
      </c>
    </row>
    <row r="65" spans="2:11" x14ac:dyDescent="0.2">
      <c r="B65" s="77"/>
      <c r="C65" s="25" t="s">
        <v>41</v>
      </c>
      <c r="D65" s="11">
        <v>263</v>
      </c>
      <c r="E65" s="11">
        <v>19</v>
      </c>
      <c r="F65" s="11">
        <v>5</v>
      </c>
      <c r="G65" s="27">
        <f>'Clean Data PL'!F65/'Clean Data PL'!E65</f>
        <v>0.26315789473684209</v>
      </c>
      <c r="H65" s="11">
        <v>0.84</v>
      </c>
      <c r="I65" s="11">
        <v>-15</v>
      </c>
      <c r="J65" s="11">
        <v>-28</v>
      </c>
      <c r="K65" s="37">
        <f t="shared" si="5"/>
        <v>13</v>
      </c>
    </row>
    <row r="66" spans="2:11" x14ac:dyDescent="0.2">
      <c r="B66" s="77"/>
      <c r="C66" s="25" t="s">
        <v>15</v>
      </c>
      <c r="D66" s="11">
        <v>526</v>
      </c>
      <c r="E66" s="11">
        <v>19</v>
      </c>
      <c r="F66" s="11">
        <v>8</v>
      </c>
      <c r="G66" s="27">
        <f>'Clean Data PL'!F66/'Clean Data PL'!E66</f>
        <v>0.42105263157894735</v>
      </c>
      <c r="H66" s="11">
        <v>1.42</v>
      </c>
      <c r="I66" s="11">
        <v>3</v>
      </c>
      <c r="J66" s="11">
        <v>-24</v>
      </c>
      <c r="K66" s="37">
        <f t="shared" si="5"/>
        <v>27</v>
      </c>
    </row>
    <row r="67" spans="2:11" x14ac:dyDescent="0.2">
      <c r="B67" s="77"/>
      <c r="C67" s="25" t="s">
        <v>3</v>
      </c>
      <c r="D67" s="11">
        <v>632</v>
      </c>
      <c r="E67" s="11">
        <v>19</v>
      </c>
      <c r="F67" s="11">
        <v>10</v>
      </c>
      <c r="G67" s="27">
        <f>'Clean Data PL'!F67/'Clean Data PL'!E67</f>
        <v>0.52631578947368418</v>
      </c>
      <c r="H67" s="11">
        <v>1.74</v>
      </c>
      <c r="I67" s="11">
        <v>15</v>
      </c>
      <c r="J67" s="11">
        <v>8</v>
      </c>
      <c r="K67" s="37">
        <f t="shared" si="5"/>
        <v>7</v>
      </c>
    </row>
    <row r="68" spans="2:11" x14ac:dyDescent="0.2">
      <c r="B68" s="77"/>
      <c r="C68" s="25" t="s">
        <v>44</v>
      </c>
      <c r="D68" s="11">
        <v>283</v>
      </c>
      <c r="E68" s="11">
        <v>19</v>
      </c>
      <c r="F68" s="11">
        <v>3</v>
      </c>
      <c r="G68" s="27">
        <f>'Clean Data PL'!F68/'Clean Data PL'!E68</f>
        <v>0.15789473684210525</v>
      </c>
      <c r="H68" s="11">
        <v>0.79</v>
      </c>
      <c r="I68" s="11">
        <v>-24</v>
      </c>
      <c r="J68" s="11">
        <v>-17</v>
      </c>
      <c r="K68" s="37">
        <f t="shared" si="5"/>
        <v>-7</v>
      </c>
    </row>
    <row r="69" spans="2:11" x14ac:dyDescent="0.2">
      <c r="B69" s="77"/>
      <c r="C69" s="25" t="s">
        <v>9</v>
      </c>
      <c r="D69" s="11">
        <v>632</v>
      </c>
      <c r="E69" s="11">
        <v>19</v>
      </c>
      <c r="F69" s="11">
        <v>10</v>
      </c>
      <c r="G69" s="27">
        <f>'Clean Data PL'!F69/'Clean Data PL'!E69</f>
        <v>0.52631578947368418</v>
      </c>
      <c r="H69" s="11">
        <v>1.79</v>
      </c>
      <c r="I69" s="11">
        <v>10</v>
      </c>
      <c r="J69" s="11">
        <v>5</v>
      </c>
      <c r="K69" s="37">
        <f t="shared" si="5"/>
        <v>5</v>
      </c>
    </row>
    <row r="70" spans="2:11" x14ac:dyDescent="0.2">
      <c r="B70" s="77"/>
      <c r="C70" s="30" t="s">
        <v>6</v>
      </c>
      <c r="D70" s="13">
        <v>237</v>
      </c>
      <c r="E70" s="13">
        <v>19</v>
      </c>
      <c r="F70" s="13">
        <v>7</v>
      </c>
      <c r="G70" s="44">
        <f>'Clean Data PL'!F70/'Clean Data PL'!E70</f>
        <v>0.36842105263157893</v>
      </c>
      <c r="H70" s="13">
        <v>1.32</v>
      </c>
      <c r="I70" s="13">
        <v>-4</v>
      </c>
      <c r="J70" s="13">
        <v>-12</v>
      </c>
      <c r="K70" s="38">
        <f t="shared" si="5"/>
        <v>8</v>
      </c>
    </row>
    <row r="72" spans="2:11" x14ac:dyDescent="0.2">
      <c r="B72" s="77" t="s">
        <v>46</v>
      </c>
      <c r="C72" s="16" t="s">
        <v>21</v>
      </c>
      <c r="D72" s="42" t="s">
        <v>37</v>
      </c>
      <c r="E72" s="42" t="s">
        <v>22</v>
      </c>
      <c r="F72" s="42" t="s">
        <v>23</v>
      </c>
      <c r="G72" s="42" t="s">
        <v>78</v>
      </c>
      <c r="H72" s="42" t="s">
        <v>30</v>
      </c>
      <c r="I72" s="42" t="s">
        <v>76</v>
      </c>
      <c r="J72" s="42" t="s">
        <v>77</v>
      </c>
      <c r="K72" s="43" t="s">
        <v>81</v>
      </c>
    </row>
    <row r="73" spans="2:11" x14ac:dyDescent="0.2">
      <c r="B73" s="77"/>
      <c r="C73" s="25" t="s">
        <v>4</v>
      </c>
      <c r="D73" s="10">
        <v>60236</v>
      </c>
      <c r="E73" s="11">
        <v>19</v>
      </c>
      <c r="F73" s="11">
        <v>15</v>
      </c>
      <c r="G73" s="27">
        <f>'Clean Data PL'!F73/'Clean Data PL'!E73</f>
        <v>0.78947368421052633</v>
      </c>
      <c r="H73" s="11">
        <v>2.4700000000000002</v>
      </c>
      <c r="I73" s="11">
        <v>32</v>
      </c>
      <c r="J73" s="11">
        <v>30</v>
      </c>
      <c r="K73" s="37">
        <f t="shared" ref="K73:K91" si="6">I73-J73</f>
        <v>2</v>
      </c>
    </row>
    <row r="74" spans="2:11" x14ac:dyDescent="0.2">
      <c r="B74" s="77"/>
      <c r="C74" s="25" t="s">
        <v>40</v>
      </c>
      <c r="D74" s="10">
        <v>41858</v>
      </c>
      <c r="E74" s="11">
        <v>19</v>
      </c>
      <c r="F74" s="11">
        <v>12</v>
      </c>
      <c r="G74" s="27">
        <f>'Clean Data PL'!F74/'Clean Data PL'!E74</f>
        <v>0.63157894736842102</v>
      </c>
      <c r="H74" s="11">
        <v>2.11</v>
      </c>
      <c r="I74" s="11">
        <v>20</v>
      </c>
      <c r="J74" s="11">
        <v>-5</v>
      </c>
      <c r="K74" s="37">
        <f t="shared" si="6"/>
        <v>25</v>
      </c>
    </row>
    <row r="75" spans="2:11" x14ac:dyDescent="0.2">
      <c r="B75" s="77"/>
      <c r="C75" s="25" t="s">
        <v>13</v>
      </c>
      <c r="D75" s="10">
        <v>11103</v>
      </c>
      <c r="E75" s="11">
        <v>19</v>
      </c>
      <c r="F75" s="11">
        <v>7</v>
      </c>
      <c r="G75" s="27">
        <f>'Clean Data PL'!F75/'Clean Data PL'!E75</f>
        <v>0.36842105263157893</v>
      </c>
      <c r="H75" s="11">
        <v>1.42</v>
      </c>
      <c r="I75" s="11">
        <v>-1</v>
      </c>
      <c r="J75" s="11">
        <v>-12</v>
      </c>
      <c r="K75" s="37">
        <f t="shared" si="6"/>
        <v>11</v>
      </c>
    </row>
    <row r="76" spans="2:11" x14ac:dyDescent="0.2">
      <c r="B76" s="77"/>
      <c r="C76" s="25" t="s">
        <v>45</v>
      </c>
      <c r="D76" s="10">
        <v>17082</v>
      </c>
      <c r="E76" s="11">
        <v>19</v>
      </c>
      <c r="F76" s="11">
        <v>5</v>
      </c>
      <c r="G76" s="27">
        <f>'Clean Data PL'!F76/'Clean Data PL'!E76</f>
        <v>0.26315789473684209</v>
      </c>
      <c r="H76" s="11">
        <v>1.1599999999999999</v>
      </c>
      <c r="I76" s="11">
        <v>-5</v>
      </c>
      <c r="J76" s="11">
        <v>-4</v>
      </c>
      <c r="K76" s="37">
        <f t="shared" si="6"/>
        <v>-1</v>
      </c>
    </row>
    <row r="77" spans="2:11" x14ac:dyDescent="0.2">
      <c r="B77" s="77"/>
      <c r="C77" s="25" t="s">
        <v>16</v>
      </c>
      <c r="D77" s="10">
        <v>32638</v>
      </c>
      <c r="E77" s="11">
        <v>19</v>
      </c>
      <c r="F77" s="11">
        <v>8</v>
      </c>
      <c r="G77" s="27">
        <f>'Clean Data PL'!F77/'Clean Data PL'!E77</f>
        <v>0.42105263157894735</v>
      </c>
      <c r="H77" s="11">
        <v>1.58</v>
      </c>
      <c r="I77" s="11">
        <v>3</v>
      </c>
      <c r="J77" s="11">
        <v>-10</v>
      </c>
      <c r="K77" s="37">
        <f t="shared" si="6"/>
        <v>13</v>
      </c>
    </row>
    <row r="78" spans="2:11" x14ac:dyDescent="0.2">
      <c r="B78" s="77"/>
      <c r="C78" s="25" t="s">
        <v>14</v>
      </c>
      <c r="D78" s="10">
        <v>21184</v>
      </c>
      <c r="E78" s="11">
        <v>19</v>
      </c>
      <c r="F78" s="11">
        <v>2</v>
      </c>
      <c r="G78" s="27">
        <f>'Clean Data PL'!F78/'Clean Data PL'!E78</f>
        <v>0.10526315789473684</v>
      </c>
      <c r="H78" s="11">
        <v>0.53</v>
      </c>
      <c r="I78" s="11">
        <v>-24</v>
      </c>
      <c r="J78" s="11">
        <v>-13</v>
      </c>
      <c r="K78" s="37">
        <f t="shared" si="6"/>
        <v>-11</v>
      </c>
    </row>
    <row r="79" spans="2:11" x14ac:dyDescent="0.2">
      <c r="B79" s="77"/>
      <c r="C79" s="25" t="s">
        <v>2</v>
      </c>
      <c r="D79" s="10">
        <v>39524</v>
      </c>
      <c r="E79" s="11">
        <v>19</v>
      </c>
      <c r="F79" s="11">
        <v>11</v>
      </c>
      <c r="G79" s="27">
        <f>'Clean Data PL'!F79/'Clean Data PL'!E79</f>
        <v>0.57894736842105265</v>
      </c>
      <c r="H79" s="11">
        <v>1.95</v>
      </c>
      <c r="I79" s="11">
        <v>18</v>
      </c>
      <c r="J79" s="11">
        <v>-4</v>
      </c>
      <c r="K79" s="37">
        <f t="shared" si="6"/>
        <v>22</v>
      </c>
    </row>
    <row r="80" spans="2:11" x14ac:dyDescent="0.2">
      <c r="B80" s="77"/>
      <c r="C80" s="25" t="s">
        <v>11</v>
      </c>
      <c r="D80" s="10">
        <v>24932</v>
      </c>
      <c r="E80" s="11">
        <v>19</v>
      </c>
      <c r="F80" s="11">
        <v>8</v>
      </c>
      <c r="G80" s="27">
        <f>'Clean Data PL'!F80/'Clean Data PL'!E80</f>
        <v>0.42105263157894735</v>
      </c>
      <c r="H80" s="11">
        <v>1.47</v>
      </c>
      <c r="I80" s="11">
        <v>11</v>
      </c>
      <c r="J80" s="11">
        <v>-12</v>
      </c>
      <c r="K80" s="37">
        <f t="shared" si="6"/>
        <v>23</v>
      </c>
    </row>
    <row r="81" spans="2:11" x14ac:dyDescent="0.2">
      <c r="B81" s="77"/>
      <c r="C81" s="25" t="s">
        <v>7</v>
      </c>
      <c r="D81" s="10">
        <v>39042</v>
      </c>
      <c r="E81" s="11">
        <v>19</v>
      </c>
      <c r="F81" s="11">
        <v>8</v>
      </c>
      <c r="G81" s="27">
        <f>'Clean Data PL'!F81/'Clean Data PL'!E81</f>
        <v>0.42105263157894735</v>
      </c>
      <c r="H81" s="11">
        <v>1.47</v>
      </c>
      <c r="I81" s="11">
        <v>4</v>
      </c>
      <c r="J81" s="11">
        <v>-15</v>
      </c>
      <c r="K81" s="37">
        <f t="shared" si="6"/>
        <v>19</v>
      </c>
    </row>
    <row r="82" spans="2:11" x14ac:dyDescent="0.2">
      <c r="B82" s="77"/>
      <c r="C82" s="25" t="s">
        <v>18</v>
      </c>
      <c r="D82" s="10">
        <v>24302</v>
      </c>
      <c r="E82" s="11">
        <v>19</v>
      </c>
      <c r="F82" s="11">
        <v>9</v>
      </c>
      <c r="G82" s="27">
        <f>'Clean Data PL'!F82/'Clean Data PL'!E82</f>
        <v>0.47368421052631576</v>
      </c>
      <c r="H82" s="11">
        <v>1.53</v>
      </c>
      <c r="I82" s="11">
        <v>7</v>
      </c>
      <c r="J82" s="11">
        <v>-13</v>
      </c>
      <c r="K82" s="37">
        <f t="shared" si="6"/>
        <v>20</v>
      </c>
    </row>
    <row r="83" spans="2:11" x14ac:dyDescent="0.2">
      <c r="B83" s="77"/>
      <c r="C83" s="25" t="s">
        <v>1</v>
      </c>
      <c r="D83" s="10">
        <v>55979</v>
      </c>
      <c r="E83" s="11">
        <v>19</v>
      </c>
      <c r="F83" s="11">
        <v>15</v>
      </c>
      <c r="G83" s="27">
        <f>'Clean Data PL'!F83/'Clean Data PL'!E83</f>
        <v>0.78947368421052633</v>
      </c>
      <c r="H83" s="11">
        <v>2.5299999999999998</v>
      </c>
      <c r="I83" s="11">
        <v>32</v>
      </c>
      <c r="J83" s="11">
        <v>13</v>
      </c>
      <c r="K83" s="37">
        <f t="shared" si="6"/>
        <v>19</v>
      </c>
    </row>
    <row r="84" spans="2:11" x14ac:dyDescent="0.2">
      <c r="B84" s="77"/>
      <c r="C84" s="25" t="s">
        <v>47</v>
      </c>
      <c r="D84" s="10">
        <v>11240</v>
      </c>
      <c r="E84" s="11">
        <v>19</v>
      </c>
      <c r="F84" s="11">
        <v>4</v>
      </c>
      <c r="G84" s="27">
        <f>'Clean Data PL'!F84/'Clean Data PL'!E84</f>
        <v>0.21052631578947367</v>
      </c>
      <c r="H84" s="11">
        <v>0.84</v>
      </c>
      <c r="I84" s="11">
        <v>-9</v>
      </c>
      <c r="J84" s="11">
        <v>-24</v>
      </c>
      <c r="K84" s="37">
        <f t="shared" si="6"/>
        <v>15</v>
      </c>
    </row>
    <row r="85" spans="2:11" x14ac:dyDescent="0.2">
      <c r="B85" s="77"/>
      <c r="C85" s="25" t="s">
        <v>0</v>
      </c>
      <c r="D85" s="10">
        <v>53012</v>
      </c>
      <c r="E85" s="11">
        <v>19</v>
      </c>
      <c r="F85" s="11">
        <v>14</v>
      </c>
      <c r="G85" s="27">
        <f>'Clean Data PL'!F85/'Clean Data PL'!E85</f>
        <v>0.73684210526315785</v>
      </c>
      <c r="H85" s="11">
        <v>2.4700000000000002</v>
      </c>
      <c r="I85" s="11">
        <v>35</v>
      </c>
      <c r="J85" s="11">
        <v>27</v>
      </c>
      <c r="K85" s="37">
        <f t="shared" si="6"/>
        <v>8</v>
      </c>
    </row>
    <row r="86" spans="2:11" x14ac:dyDescent="0.2">
      <c r="B86" s="77"/>
      <c r="C86" s="25" t="s">
        <v>5</v>
      </c>
      <c r="D86" s="10">
        <v>73533</v>
      </c>
      <c r="E86" s="11">
        <v>19</v>
      </c>
      <c r="F86" s="11">
        <v>10</v>
      </c>
      <c r="G86" s="27">
        <f>'Clean Data PL'!F86/'Clean Data PL'!E86</f>
        <v>0.52631578947368418</v>
      </c>
      <c r="H86" s="11">
        <v>1.74</v>
      </c>
      <c r="I86" s="11">
        <v>3</v>
      </c>
      <c r="J86" s="11">
        <v>-4</v>
      </c>
      <c r="K86" s="37">
        <f t="shared" si="6"/>
        <v>7</v>
      </c>
    </row>
    <row r="87" spans="2:11" x14ac:dyDescent="0.2">
      <c r="B87" s="77"/>
      <c r="C87" s="25" t="s">
        <v>12</v>
      </c>
      <c r="D87" s="10">
        <v>52125</v>
      </c>
      <c r="E87" s="11">
        <v>19</v>
      </c>
      <c r="F87" s="11">
        <v>12</v>
      </c>
      <c r="G87" s="27">
        <f>'Clean Data PL'!F87/'Clean Data PL'!E87</f>
        <v>0.63157894736842102</v>
      </c>
      <c r="H87" s="11">
        <v>2.11</v>
      </c>
      <c r="I87" s="11">
        <v>27</v>
      </c>
      <c r="J87" s="11">
        <v>-4</v>
      </c>
      <c r="K87" s="37">
        <f t="shared" si="6"/>
        <v>31</v>
      </c>
    </row>
    <row r="88" spans="2:11" x14ac:dyDescent="0.2">
      <c r="B88" s="77"/>
      <c r="C88" s="25" t="s">
        <v>48</v>
      </c>
      <c r="D88" s="10">
        <v>29386</v>
      </c>
      <c r="E88" s="11">
        <v>19</v>
      </c>
      <c r="F88" s="11">
        <v>5</v>
      </c>
      <c r="G88" s="27">
        <f>'Clean Data PL'!F88/'Clean Data PL'!E88</f>
        <v>0.26315789473684209</v>
      </c>
      <c r="H88" s="11">
        <v>1.05</v>
      </c>
      <c r="I88" s="11">
        <v>-3</v>
      </c>
      <c r="J88" s="11">
        <v>-15</v>
      </c>
      <c r="K88" s="37">
        <f t="shared" si="6"/>
        <v>12</v>
      </c>
    </row>
    <row r="89" spans="2:11" x14ac:dyDescent="0.2">
      <c r="B89" s="77"/>
      <c r="C89" s="25" t="s">
        <v>41</v>
      </c>
      <c r="D89" s="10">
        <v>30011</v>
      </c>
      <c r="E89" s="11">
        <v>19</v>
      </c>
      <c r="F89" s="11">
        <v>2</v>
      </c>
      <c r="G89" s="27">
        <f>'Clean Data PL'!F89/'Clean Data PL'!E89</f>
        <v>0.10526315789473684</v>
      </c>
      <c r="H89" s="11">
        <v>0.53</v>
      </c>
      <c r="I89" s="11">
        <v>-38</v>
      </c>
      <c r="J89" s="11">
        <v>-31</v>
      </c>
      <c r="K89" s="37">
        <f t="shared" si="6"/>
        <v>-7</v>
      </c>
    </row>
    <row r="90" spans="2:11" x14ac:dyDescent="0.2">
      <c r="B90" s="77"/>
      <c r="C90" s="25" t="s">
        <v>3</v>
      </c>
      <c r="D90" s="10">
        <v>61482</v>
      </c>
      <c r="E90" s="11">
        <v>19</v>
      </c>
      <c r="F90" s="11">
        <v>13</v>
      </c>
      <c r="G90" s="27">
        <f>'Clean Data PL'!F90/'Clean Data PL'!E90</f>
        <v>0.68421052631578949</v>
      </c>
      <c r="H90" s="11">
        <v>2.0499999999999998</v>
      </c>
      <c r="I90" s="11">
        <v>11</v>
      </c>
      <c r="J90" s="11">
        <v>2</v>
      </c>
      <c r="K90" s="37">
        <f t="shared" si="6"/>
        <v>9</v>
      </c>
    </row>
    <row r="91" spans="2:11" x14ac:dyDescent="0.2">
      <c r="B91" s="77"/>
      <c r="C91" s="25" t="s">
        <v>9</v>
      </c>
      <c r="D91" s="10">
        <v>62567</v>
      </c>
      <c r="E91" s="11">
        <v>19</v>
      </c>
      <c r="F91" s="11">
        <v>7</v>
      </c>
      <c r="G91" s="27">
        <f>'Clean Data PL'!F91/'Clean Data PL'!E91</f>
        <v>0.36842105263157893</v>
      </c>
      <c r="H91" s="11">
        <v>1.53</v>
      </c>
      <c r="I91" s="11">
        <v>3</v>
      </c>
      <c r="J91" s="11">
        <v>-17</v>
      </c>
      <c r="K91" s="37">
        <f t="shared" si="6"/>
        <v>20</v>
      </c>
    </row>
    <row r="92" spans="2:11" x14ac:dyDescent="0.2">
      <c r="B92" s="77"/>
      <c r="C92" s="30" t="s">
        <v>6</v>
      </c>
      <c r="D92" s="12">
        <v>31029</v>
      </c>
      <c r="E92" s="13">
        <v>19</v>
      </c>
      <c r="F92" s="13">
        <v>8</v>
      </c>
      <c r="G92" s="44">
        <f>'Clean Data PL'!F92/'Clean Data PL'!E92</f>
        <v>0.42105263157894735</v>
      </c>
      <c r="H92" s="13">
        <v>1.42</v>
      </c>
      <c r="I92" s="13">
        <v>-4</v>
      </c>
      <c r="J92" s="13">
        <v>-11</v>
      </c>
      <c r="K92" s="38">
        <f t="shared" ref="K92" si="7">I92-J92</f>
        <v>7</v>
      </c>
    </row>
    <row r="95" spans="2:11" ht="16" customHeight="1" x14ac:dyDescent="0.2"/>
  </sheetData>
  <mergeCells count="7">
    <mergeCell ref="B50:B70"/>
    <mergeCell ref="B72:B92"/>
    <mergeCell ref="C6:J6"/>
    <mergeCell ref="K6:R6"/>
    <mergeCell ref="S6:Z6"/>
    <mergeCell ref="B6:B7"/>
    <mergeCell ref="B28:B48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69DA-205D-054A-BFA3-4C783F886EFD}">
  <dimension ref="B1:E13"/>
  <sheetViews>
    <sheetView showGridLines="0" tabSelected="1" zoomScale="125" workbookViewId="0"/>
  </sheetViews>
  <sheetFormatPr baseColWidth="10" defaultRowHeight="16" x14ac:dyDescent="0.2"/>
  <cols>
    <col min="1" max="1" width="10.83203125" style="65"/>
    <col min="2" max="2" width="23.1640625" style="65" bestFit="1" customWidth="1"/>
    <col min="3" max="3" width="116.83203125" style="65" customWidth="1"/>
    <col min="4" max="4" width="44.1640625" style="65" bestFit="1" customWidth="1"/>
    <col min="5" max="5" width="10.6640625" style="65" bestFit="1" customWidth="1"/>
    <col min="6" max="6" width="31.5" style="65" customWidth="1"/>
    <col min="7" max="7" width="10.6640625" style="65" bestFit="1" customWidth="1"/>
    <col min="8" max="8" width="32.33203125" style="65" customWidth="1"/>
    <col min="9" max="16384" width="10.83203125" style="65"/>
  </cols>
  <sheetData>
    <row r="1" spans="2:5" ht="20" customHeight="1" x14ac:dyDescent="0.2"/>
    <row r="2" spans="2:5" ht="20" customHeight="1" x14ac:dyDescent="0.2">
      <c r="B2" s="64" t="s">
        <v>85</v>
      </c>
    </row>
    <row r="3" spans="2:5" ht="20" customHeight="1" x14ac:dyDescent="0.2"/>
    <row r="4" spans="2:5" ht="20" customHeight="1" x14ac:dyDescent="0.2">
      <c r="B4" s="72" t="s">
        <v>89</v>
      </c>
      <c r="C4" s="73" t="s">
        <v>90</v>
      </c>
      <c r="D4" s="74" t="s">
        <v>91</v>
      </c>
      <c r="E4" s="75"/>
    </row>
    <row r="5" spans="2:5" ht="20" customHeight="1" x14ac:dyDescent="0.2">
      <c r="B5" s="62" t="s">
        <v>21</v>
      </c>
      <c r="C5" s="67" t="s">
        <v>87</v>
      </c>
      <c r="D5" s="66" t="s">
        <v>88</v>
      </c>
      <c r="E5" s="75"/>
    </row>
    <row r="6" spans="2:5" ht="20" customHeight="1" x14ac:dyDescent="0.2">
      <c r="B6" s="62" t="s">
        <v>37</v>
      </c>
      <c r="C6" s="67" t="s">
        <v>86</v>
      </c>
      <c r="D6" s="68" t="s">
        <v>99</v>
      </c>
      <c r="E6" s="75"/>
    </row>
    <row r="7" spans="2:5" ht="20" customHeight="1" x14ac:dyDescent="0.2">
      <c r="B7" s="62" t="s">
        <v>22</v>
      </c>
      <c r="C7" s="67" t="s">
        <v>93</v>
      </c>
      <c r="D7" s="66">
        <v>19</v>
      </c>
      <c r="E7" s="75"/>
    </row>
    <row r="8" spans="2:5" ht="20" customHeight="1" x14ac:dyDescent="0.2">
      <c r="B8" s="62" t="s">
        <v>23</v>
      </c>
      <c r="C8" s="67" t="s">
        <v>94</v>
      </c>
      <c r="D8" s="69" t="s">
        <v>98</v>
      </c>
      <c r="E8" s="75"/>
    </row>
    <row r="9" spans="2:5" ht="20" customHeight="1" x14ac:dyDescent="0.2">
      <c r="B9" s="62" t="s">
        <v>78</v>
      </c>
      <c r="C9" s="67" t="s">
        <v>92</v>
      </c>
      <c r="D9" s="69" t="s">
        <v>97</v>
      </c>
      <c r="E9" s="75"/>
    </row>
    <row r="10" spans="2:5" ht="20" customHeight="1" x14ac:dyDescent="0.2">
      <c r="B10" s="62" t="s">
        <v>30</v>
      </c>
      <c r="C10" s="67" t="s">
        <v>95</v>
      </c>
      <c r="D10" s="69" t="s">
        <v>96</v>
      </c>
      <c r="E10" s="75"/>
    </row>
    <row r="11" spans="2:5" ht="20" customHeight="1" x14ac:dyDescent="0.2">
      <c r="B11" s="62" t="s">
        <v>76</v>
      </c>
      <c r="C11" s="67" t="s">
        <v>100</v>
      </c>
      <c r="D11" s="69" t="s">
        <v>102</v>
      </c>
      <c r="E11" s="75"/>
    </row>
    <row r="12" spans="2:5" ht="20" customHeight="1" x14ac:dyDescent="0.2">
      <c r="B12" s="62" t="s">
        <v>77</v>
      </c>
      <c r="C12" s="67" t="s">
        <v>101</v>
      </c>
      <c r="D12" s="69" t="s">
        <v>103</v>
      </c>
      <c r="E12" s="75"/>
    </row>
    <row r="13" spans="2:5" ht="20" customHeight="1" x14ac:dyDescent="0.2">
      <c r="B13" s="63" t="s">
        <v>81</v>
      </c>
      <c r="C13" s="70" t="s">
        <v>105</v>
      </c>
      <c r="D13" s="71" t="s">
        <v>104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 LL</vt:lpstr>
      <vt:lpstr>Clean Data PL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2025-12-04T20:50:44Z</dcterms:created>
  <dcterms:modified xsi:type="dcterms:W3CDTF">2025-12-10T19:05:23Z</dcterms:modified>
</cp:coreProperties>
</file>