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iferfajardo/Desktop/MBA/DATA/"/>
    </mc:Choice>
  </mc:AlternateContent>
  <xr:revisionPtr revIDLastSave="0" documentId="13_ncr:1_{84054ECD-1384-E543-A4DF-A2E7ECC2CF4A}" xr6:coauthVersionLast="47" xr6:coauthVersionMax="47" xr10:uidLastSave="{00000000-0000-0000-0000-000000000000}"/>
  <bookViews>
    <workbookView xWindow="0" yWindow="0" windowWidth="28800" windowHeight="18000" xr2:uid="{51EE02E0-EF72-0543-BBA6-08CF444E4966}"/>
  </bookViews>
  <sheets>
    <sheet name="CP6 Analysi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D7" i="1" s="1"/>
  <c r="C6" i="1"/>
  <c r="D6" i="1" s="1"/>
  <c r="C5" i="1"/>
  <c r="D5" i="1" s="1"/>
</calcChain>
</file>

<file path=xl/sharedStrings.xml><?xml version="1.0" encoding="utf-8"?>
<sst xmlns="http://schemas.openxmlformats.org/spreadsheetml/2006/main" count="23" uniqueCount="23">
  <si>
    <t>*14/20 teams</t>
  </si>
  <si>
    <t>Analysis Spec</t>
  </si>
  <si>
    <t>Period</t>
  </si>
  <si>
    <t>Average Home Pts/MP</t>
  </si>
  <si>
    <t>Change vs 2018-19</t>
  </si>
  <si>
    <t>Component</t>
  </si>
  <si>
    <t>Specification</t>
  </si>
  <si>
    <t>2018-19</t>
  </si>
  <si>
    <t>Research Question</t>
  </si>
  <si>
    <t>Did home field advantage decline during COVID and rebound post COVID?</t>
  </si>
  <si>
    <t>2020-21</t>
  </si>
  <si>
    <t>Outcome (DV)</t>
  </si>
  <si>
    <t>Average Home Points Per Match (Pts/MP)</t>
  </si>
  <si>
    <t>2023-24</t>
  </si>
  <si>
    <t>Predictor / Groups (IV)</t>
  </si>
  <si>
    <t>Season group: Pre COVID (2018-19), COVID (2020-21), Post COVID (2023-24)</t>
  </si>
  <si>
    <t>Sample</t>
  </si>
  <si>
    <t>14 Premier League teams that played all three seasons</t>
  </si>
  <si>
    <t>Row Definition</t>
  </si>
  <si>
    <t>one team's home/away results for each season</t>
  </si>
  <si>
    <t xml:space="preserve"> </t>
  </si>
  <si>
    <t>Figure 19</t>
  </si>
  <si>
    <t>Figure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</si>
</sst>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Verdana"/>
      <family val="2"/>
    </font>
    <font>
      <i/>
      <sz val="12"/>
      <color theme="1"/>
      <name val="Verdana"/>
      <family val="2"/>
    </font>
    <font>
      <sz val="12"/>
      <name val="Verdana"/>
      <family val="2"/>
    </font>
    <font>
      <b/>
      <sz val="12"/>
      <name val="Verdana"/>
      <family val="2"/>
    </font>
    <font>
      <b/>
      <sz val="12"/>
      <color theme="1"/>
      <name val="Verdana"/>
      <family val="2"/>
    </font>
    <font>
      <i/>
      <sz val="12"/>
      <name val="Verdana"/>
      <family val="2"/>
    </font>
    <font>
      <b/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DE2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1" xfId="0" applyFont="1" applyBorder="1"/>
    <xf numFmtId="0" fontId="6" fillId="0" borderId="3" xfId="0" applyFont="1" applyBorder="1"/>
    <xf numFmtId="3" fontId="4" fillId="0" borderId="0" xfId="0" applyNumberFormat="1" applyFont="1" applyAlignment="1">
      <alignment vertical="center"/>
    </xf>
    <xf numFmtId="10" fontId="4" fillId="0" borderId="0" xfId="0" applyNumberFormat="1" applyFont="1"/>
    <xf numFmtId="4" fontId="4" fillId="0" borderId="0" xfId="0" applyNumberFormat="1" applyFont="1"/>
    <xf numFmtId="4" fontId="4" fillId="0" borderId="0" xfId="0" applyNumberFormat="1" applyFont="1" applyAlignment="1">
      <alignment vertical="center"/>
    </xf>
    <xf numFmtId="2" fontId="4" fillId="0" borderId="0" xfId="2" applyNumberFormat="1" applyFont="1" applyFill="1" applyBorder="1"/>
    <xf numFmtId="0" fontId="2" fillId="2" borderId="4" xfId="0" applyFont="1" applyFill="1" applyBorder="1"/>
    <xf numFmtId="4" fontId="2" fillId="2" borderId="5" xfId="0" applyNumberFormat="1" applyFont="1" applyFill="1" applyBorder="1"/>
    <xf numFmtId="4" fontId="2" fillId="2" borderId="6" xfId="0" quotePrefix="1" applyNumberFormat="1" applyFont="1" applyFill="1" applyBorder="1" applyAlignment="1">
      <alignment horizontal="right"/>
    </xf>
    <xf numFmtId="0" fontId="2" fillId="0" borderId="4" xfId="0" applyFont="1" applyBorder="1"/>
    <xf numFmtId="0" fontId="2" fillId="0" borderId="6" xfId="0" applyFont="1" applyBorder="1"/>
    <xf numFmtId="3" fontId="4" fillId="0" borderId="0" xfId="0" applyNumberFormat="1" applyFont="1"/>
    <xf numFmtId="0" fontId="2" fillId="2" borderId="7" xfId="0" applyFont="1" applyFill="1" applyBorder="1"/>
    <xf numFmtId="4" fontId="2" fillId="2" borderId="8" xfId="0" applyNumberFormat="1" applyFont="1" applyFill="1" applyBorder="1"/>
    <xf numFmtId="4" fontId="2" fillId="2" borderId="9" xfId="0" quotePrefix="1" applyNumberFormat="1" applyFont="1" applyFill="1" applyBorder="1" applyAlignment="1">
      <alignment horizontal="right"/>
    </xf>
    <xf numFmtId="0" fontId="2" fillId="0" borderId="7" xfId="0" applyFont="1" applyBorder="1"/>
    <xf numFmtId="0" fontId="2" fillId="0" borderId="9" xfId="0" applyFont="1" applyBorder="1"/>
    <xf numFmtId="0" fontId="7" fillId="0" borderId="0" xfId="0" applyFont="1"/>
    <xf numFmtId="0" fontId="6" fillId="0" borderId="0" xfId="0" applyFont="1" applyAlignment="1">
      <alignment vertical="center"/>
    </xf>
    <xf numFmtId="164" fontId="4" fillId="0" borderId="0" xfId="1" applyNumberFormat="1" applyFont="1" applyFill="1" applyBorder="1" applyAlignment="1">
      <alignment vertical="center"/>
    </xf>
    <xf numFmtId="10" fontId="4" fillId="0" borderId="0" xfId="2" applyNumberFormat="1" applyFont="1" applyFill="1" applyBorder="1"/>
    <xf numFmtId="2" fontId="4" fillId="0" borderId="0" xfId="0" applyNumberFormat="1" applyFont="1"/>
    <xf numFmtId="2" fontId="4" fillId="0" borderId="0" xfId="0" applyNumberFormat="1" applyFont="1" applyAlignment="1">
      <alignment vertical="center"/>
    </xf>
    <xf numFmtId="164" fontId="4" fillId="0" borderId="0" xfId="1" applyNumberFormat="1" applyFont="1" applyFill="1" applyBorder="1"/>
    <xf numFmtId="0" fontId="8" fillId="0" borderId="0" xfId="0" applyFont="1" applyAlignment="1">
      <alignment vertical="top"/>
    </xf>
    <xf numFmtId="0" fontId="8" fillId="0" borderId="0" xfId="0" applyFont="1" applyBorder="1" applyAlignment="1"/>
    <xf numFmtId="0" fontId="2" fillId="0" borderId="0" xfId="0" applyFont="1" applyBorder="1" applyAlignme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enniferfajardo/Desktop/MBA/DATA/PL%20Workbook.xlsx" TargetMode="External"/><Relationship Id="rId1" Type="http://schemas.openxmlformats.org/officeDocument/2006/relationships/externalLinkPath" Target="PL%20Workbo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Data"/>
      <sheetName val="Clean Data"/>
      <sheetName val="Data Dictionary"/>
      <sheetName val="EDA"/>
      <sheetName val="Analysis"/>
      <sheetName val="Analysis 2 (CP7)"/>
      <sheetName val="CP7 Regression"/>
      <sheetName val="CP8 Figure"/>
      <sheetName val="Analysis (2)"/>
    </sheetNames>
    <sheetDataSet>
      <sheetData sheetId="0"/>
      <sheetData sheetId="1">
        <row r="6">
          <cell r="G6">
            <v>2.37</v>
          </cell>
          <cell r="O6">
            <v>1.47</v>
          </cell>
          <cell r="W6">
            <v>2.4700000000000002</v>
          </cell>
        </row>
        <row r="7">
          <cell r="G7">
            <v>1.21</v>
          </cell>
          <cell r="O7">
            <v>1.1100000000000001</v>
          </cell>
          <cell r="W7">
            <v>1.58</v>
          </cell>
        </row>
        <row r="8">
          <cell r="G8">
            <v>1.21</v>
          </cell>
          <cell r="O8">
            <v>0.95</v>
          </cell>
          <cell r="W8">
            <v>0.53</v>
          </cell>
        </row>
        <row r="9">
          <cell r="G9">
            <v>2.21</v>
          </cell>
          <cell r="O9">
            <v>1.74</v>
          </cell>
          <cell r="W9">
            <v>1.95</v>
          </cell>
        </row>
        <row r="10">
          <cell r="G10">
            <v>1.05</v>
          </cell>
          <cell r="O10">
            <v>1.21</v>
          </cell>
          <cell r="W10">
            <v>1.47</v>
          </cell>
        </row>
        <row r="11">
          <cell r="G11">
            <v>1.79</v>
          </cell>
          <cell r="O11">
            <v>1.1599999999999999</v>
          </cell>
          <cell r="W11">
            <v>1.47</v>
          </cell>
        </row>
        <row r="12">
          <cell r="G12">
            <v>1.1100000000000001</v>
          </cell>
          <cell r="O12">
            <v>0.53</v>
          </cell>
          <cell r="W12">
            <v>1.53</v>
          </cell>
        </row>
        <row r="13">
          <cell r="G13">
            <v>2.79</v>
          </cell>
          <cell r="O13">
            <v>1.74</v>
          </cell>
          <cell r="W13">
            <v>2.5299999999999998</v>
          </cell>
        </row>
        <row r="14">
          <cell r="G14">
            <v>2.84</v>
          </cell>
          <cell r="O14">
            <v>2.16</v>
          </cell>
          <cell r="W14">
            <v>2.4700000000000002</v>
          </cell>
        </row>
        <row r="15">
          <cell r="G15">
            <v>1.89</v>
          </cell>
          <cell r="O15">
            <v>1.63</v>
          </cell>
          <cell r="W15">
            <v>1.74</v>
          </cell>
        </row>
        <row r="16">
          <cell r="G16">
            <v>1.32</v>
          </cell>
          <cell r="O16">
            <v>1.21</v>
          </cell>
          <cell r="W16">
            <v>2.11</v>
          </cell>
        </row>
        <row r="17">
          <cell r="G17">
            <v>2</v>
          </cell>
          <cell r="O17">
            <v>1.74</v>
          </cell>
          <cell r="W17">
            <v>2.0499999999999998</v>
          </cell>
        </row>
        <row r="18">
          <cell r="G18">
            <v>1.63</v>
          </cell>
          <cell r="O18">
            <v>1.79</v>
          </cell>
          <cell r="W18">
            <v>1.53</v>
          </cell>
        </row>
        <row r="19">
          <cell r="G19">
            <v>1.79</v>
          </cell>
          <cell r="O19">
            <v>1.32</v>
          </cell>
          <cell r="W19">
            <v>1.42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BCA9F-1B23-A54A-AE3D-C03969958CBA}">
  <dimension ref="B2:R34"/>
  <sheetViews>
    <sheetView showGridLines="0" tabSelected="1" zoomScaleNormal="100" workbookViewId="0"/>
  </sheetViews>
  <sheetFormatPr baseColWidth="10" defaultRowHeight="16" x14ac:dyDescent="0.2"/>
  <cols>
    <col min="1" max="1" width="10.83203125" style="1"/>
    <col min="2" max="4" width="26.83203125" style="1" customWidth="1"/>
    <col min="5" max="5" width="14.83203125" style="1" customWidth="1"/>
    <col min="6" max="6" width="25.5" style="1" bestFit="1" customWidth="1"/>
    <col min="7" max="7" width="82.6640625" style="1" bestFit="1" customWidth="1"/>
    <col min="8" max="16384" width="10.83203125" style="1"/>
  </cols>
  <sheetData>
    <row r="2" spans="2:18" x14ac:dyDescent="0.2">
      <c r="B2" s="2" t="s">
        <v>0</v>
      </c>
      <c r="F2" s="3" t="s">
        <v>1</v>
      </c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x14ac:dyDescent="0.2">
      <c r="B3" s="35" t="s">
        <v>22</v>
      </c>
      <c r="C3" s="36"/>
      <c r="D3" s="36"/>
      <c r="I3" s="4"/>
      <c r="J3" s="5"/>
      <c r="K3" s="5"/>
      <c r="L3" s="5"/>
      <c r="M3" s="5"/>
      <c r="N3" s="5"/>
      <c r="O3" s="5"/>
      <c r="P3" s="4"/>
      <c r="Q3" s="4"/>
      <c r="R3" s="4"/>
    </row>
    <row r="4" spans="2:18" x14ac:dyDescent="0.2">
      <c r="B4" s="6" t="s">
        <v>2</v>
      </c>
      <c r="C4" s="7" t="s">
        <v>3</v>
      </c>
      <c r="D4" s="8" t="s">
        <v>4</v>
      </c>
      <c r="F4" s="34" t="s">
        <v>21</v>
      </c>
      <c r="I4" s="4"/>
      <c r="J4" s="4"/>
      <c r="K4" s="11"/>
      <c r="L4" s="12"/>
      <c r="M4" s="13"/>
      <c r="N4" s="14"/>
      <c r="O4" s="15"/>
      <c r="P4" s="4"/>
      <c r="Q4" s="4"/>
      <c r="R4" s="4"/>
    </row>
    <row r="5" spans="2:18" x14ac:dyDescent="0.2">
      <c r="B5" s="16" t="s">
        <v>7</v>
      </c>
      <c r="C5" s="17">
        <f>AVERAGE('[1]Clean Data'!G6:G19)</f>
        <v>1.8007142857142855</v>
      </c>
      <c r="D5" s="18">
        <f>C5-$C$5</f>
        <v>0</v>
      </c>
      <c r="F5" s="9" t="s">
        <v>5</v>
      </c>
      <c r="G5" s="10" t="s">
        <v>6</v>
      </c>
      <c r="I5" s="4"/>
      <c r="J5" s="4"/>
      <c r="K5" s="21"/>
      <c r="L5" s="12"/>
      <c r="M5" s="13"/>
      <c r="N5" s="13"/>
      <c r="O5" s="15"/>
      <c r="P5" s="4"/>
      <c r="Q5" s="4"/>
      <c r="R5" s="4"/>
    </row>
    <row r="6" spans="2:18" x14ac:dyDescent="0.2">
      <c r="B6" s="16" t="s">
        <v>10</v>
      </c>
      <c r="C6" s="17">
        <f>AVERAGE('[1]Clean Data'!O6:O19)</f>
        <v>1.4114285714285713</v>
      </c>
      <c r="D6" s="18">
        <f>C6-$C$5</f>
        <v>-0.38928571428571423</v>
      </c>
      <c r="F6" s="19" t="s">
        <v>8</v>
      </c>
      <c r="G6" s="20" t="s">
        <v>9</v>
      </c>
      <c r="I6" s="4"/>
      <c r="J6" s="4"/>
      <c r="K6" s="21"/>
      <c r="L6" s="12"/>
      <c r="M6" s="13"/>
      <c r="N6" s="13"/>
      <c r="O6" s="15"/>
      <c r="P6" s="4"/>
      <c r="Q6" s="4"/>
      <c r="R6" s="4"/>
    </row>
    <row r="7" spans="2:18" x14ac:dyDescent="0.2">
      <c r="B7" s="22" t="s">
        <v>13</v>
      </c>
      <c r="C7" s="23">
        <f>AVERAGE('[1]Clean Data'!W6:W19)</f>
        <v>1.7750000000000001</v>
      </c>
      <c r="D7" s="24">
        <f>C7-$C$5</f>
        <v>-2.5714285714285356E-2</v>
      </c>
      <c r="F7" s="19" t="s">
        <v>11</v>
      </c>
      <c r="G7" s="20" t="s">
        <v>12</v>
      </c>
      <c r="I7" s="4"/>
      <c r="J7" s="4"/>
      <c r="K7" s="4"/>
      <c r="L7" s="4"/>
      <c r="M7" s="4"/>
      <c r="N7" s="4"/>
      <c r="O7" s="4"/>
      <c r="P7" s="4"/>
      <c r="Q7" s="4"/>
      <c r="R7" s="4"/>
    </row>
    <row r="8" spans="2:18" x14ac:dyDescent="0.2">
      <c r="F8" s="19" t="s">
        <v>14</v>
      </c>
      <c r="G8" s="20" t="s">
        <v>15</v>
      </c>
      <c r="I8" s="4"/>
      <c r="J8" s="4"/>
      <c r="K8" s="4"/>
      <c r="L8" s="4"/>
      <c r="M8" s="4"/>
      <c r="N8" s="4"/>
      <c r="O8" s="4"/>
      <c r="P8" s="4"/>
      <c r="Q8" s="4"/>
      <c r="R8" s="4"/>
    </row>
    <row r="9" spans="2:18" x14ac:dyDescent="0.2">
      <c r="F9" s="19" t="s">
        <v>16</v>
      </c>
      <c r="G9" s="20" t="s">
        <v>17</v>
      </c>
      <c r="I9" s="4"/>
      <c r="J9" s="4"/>
      <c r="K9" s="4"/>
      <c r="L9" s="4"/>
      <c r="M9" s="4"/>
      <c r="N9" s="4"/>
      <c r="O9" s="4"/>
      <c r="P9" s="4"/>
      <c r="Q9" s="4"/>
      <c r="R9" s="4"/>
    </row>
    <row r="10" spans="2:18" x14ac:dyDescent="0.2">
      <c r="F10" s="25" t="s">
        <v>18</v>
      </c>
      <c r="G10" s="26" t="s">
        <v>19</v>
      </c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2:18" x14ac:dyDescent="0.2"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2:18" x14ac:dyDescent="0.2"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2:18" x14ac:dyDescent="0.2"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2:18" x14ac:dyDescent="0.2"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2:18" x14ac:dyDescent="0.2"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2:18" x14ac:dyDescent="0.2"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5:18" x14ac:dyDescent="0.2"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5:18" x14ac:dyDescent="0.2"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5:18" x14ac:dyDescent="0.2">
      <c r="I19" s="4"/>
      <c r="J19" s="27"/>
      <c r="K19" s="4"/>
      <c r="L19" s="4"/>
      <c r="M19" s="4"/>
      <c r="N19" s="4"/>
      <c r="O19" s="4"/>
      <c r="P19" s="4"/>
      <c r="Q19" s="4"/>
      <c r="R19" s="4"/>
    </row>
    <row r="20" spans="5:18" x14ac:dyDescent="0.2">
      <c r="E20" s="28"/>
      <c r="F20" s="28"/>
      <c r="G20" s="28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5:18" x14ac:dyDescent="0.2">
      <c r="I21" s="4"/>
      <c r="J21" s="5"/>
      <c r="K21" s="5"/>
      <c r="L21" s="5"/>
      <c r="M21" s="5"/>
      <c r="N21" s="5"/>
      <c r="O21" s="5"/>
      <c r="P21" s="4"/>
      <c r="Q21" s="4"/>
      <c r="R21" s="4"/>
    </row>
    <row r="22" spans="5:18" x14ac:dyDescent="0.2">
      <c r="I22" s="4"/>
      <c r="J22" s="4"/>
      <c r="K22" s="29"/>
      <c r="L22" s="30"/>
      <c r="M22" s="31"/>
      <c r="N22" s="32"/>
      <c r="O22" s="15"/>
      <c r="P22" s="4"/>
      <c r="Q22" s="4"/>
      <c r="R22" s="4"/>
    </row>
    <row r="23" spans="5:18" x14ac:dyDescent="0.2">
      <c r="I23" s="4"/>
      <c r="J23" s="4"/>
      <c r="K23" s="33"/>
      <c r="L23" s="30"/>
      <c r="M23" s="31"/>
      <c r="N23" s="31"/>
      <c r="O23" s="15"/>
      <c r="P23" s="4"/>
      <c r="Q23" s="4"/>
      <c r="R23" s="4"/>
    </row>
    <row r="24" spans="5:18" x14ac:dyDescent="0.2">
      <c r="I24" s="4"/>
      <c r="J24" s="4"/>
      <c r="K24" s="33"/>
      <c r="L24" s="30"/>
      <c r="M24" s="31"/>
      <c r="N24" s="31"/>
      <c r="O24" s="15"/>
      <c r="P24" s="4"/>
      <c r="Q24" s="4"/>
      <c r="R24" s="4"/>
    </row>
    <row r="25" spans="5:18" x14ac:dyDescent="0.2"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5:18" x14ac:dyDescent="0.2"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5:18" x14ac:dyDescent="0.2"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5:18" x14ac:dyDescent="0.2"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5:18" x14ac:dyDescent="0.2"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5:18" x14ac:dyDescent="0.2"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5:18" x14ac:dyDescent="0.2"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5:18" x14ac:dyDescent="0.2">
      <c r="I32" s="4"/>
      <c r="J32" s="4"/>
      <c r="K32" s="4"/>
      <c r="L32" s="4"/>
      <c r="M32" s="4"/>
      <c r="N32" s="4"/>
      <c r="O32" s="4"/>
      <c r="P32" s="4"/>
      <c r="Q32" s="4"/>
      <c r="R32" s="4"/>
    </row>
    <row r="34" spans="3:3" x14ac:dyDescent="0.2">
      <c r="C34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CP6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Fajardo, Jennifer</dc:creator>
  <cp:lastModifiedBy>Fajardo, Jennifer</cp:lastModifiedBy>
  <dcterms:created xsi:type="dcterms:W3CDTF">2025-12-16T18:31:10Z</dcterms:created>
  <dcterms:modified xsi:type="dcterms:W3CDTF">2025-12-21T16:41:18Z</dcterms:modified>
</cp:coreProperties>
</file>