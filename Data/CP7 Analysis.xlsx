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nniferfajardo/Desktop/MBA/DATA/"/>
    </mc:Choice>
  </mc:AlternateContent>
  <xr:revisionPtr revIDLastSave="0" documentId="8_{73F138A3-76CC-8E4C-AF06-17CFA5B3F5A1}" xr6:coauthVersionLast="47" xr6:coauthVersionMax="47" xr10:uidLastSave="{00000000-0000-0000-0000-000000000000}"/>
  <bookViews>
    <workbookView xWindow="0" yWindow="0" windowWidth="28800" windowHeight="18000" xr2:uid="{9546F733-72DE-3E4F-8AFE-30649ABD2A90}"/>
  </bookViews>
  <sheets>
    <sheet name="Analysis 2 (CP7)" sheetId="1" r:id="rId1"/>
    <sheet name="CP7 Regression" sheetId="2" r:id="rId2"/>
  </sheets>
  <definedNames>
    <definedName name="_xlnm._FilterDatabase" localSheetId="0" hidden="1">'Analysis 2 (CP7)'!$B$2:$G$2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2" i="1" l="1"/>
  <c r="E62" i="1"/>
  <c r="G61" i="1"/>
  <c r="E61" i="1"/>
  <c r="G60" i="1"/>
  <c r="E60" i="1"/>
  <c r="G59" i="1"/>
  <c r="E59" i="1"/>
  <c r="G58" i="1"/>
  <c r="E58" i="1"/>
  <c r="G57" i="1"/>
  <c r="E57" i="1"/>
  <c r="G56" i="1"/>
  <c r="E56" i="1"/>
  <c r="G55" i="1"/>
  <c r="E55" i="1"/>
  <c r="G54" i="1"/>
  <c r="E54" i="1"/>
  <c r="G53" i="1"/>
  <c r="E53" i="1"/>
  <c r="G52" i="1"/>
  <c r="E52" i="1"/>
  <c r="G51" i="1"/>
  <c r="E51" i="1"/>
  <c r="G50" i="1"/>
  <c r="E50" i="1"/>
  <c r="G49" i="1"/>
  <c r="E49" i="1"/>
  <c r="G48" i="1"/>
  <c r="E48" i="1"/>
  <c r="G47" i="1"/>
  <c r="E47" i="1"/>
  <c r="G46" i="1"/>
  <c r="E46" i="1"/>
  <c r="G45" i="1"/>
  <c r="E45" i="1"/>
  <c r="G44" i="1"/>
  <c r="E44" i="1"/>
  <c r="G43" i="1"/>
  <c r="E43" i="1"/>
  <c r="G42" i="1"/>
  <c r="E42" i="1"/>
  <c r="G41" i="1"/>
  <c r="E41" i="1"/>
  <c r="G40" i="1"/>
  <c r="E40" i="1"/>
  <c r="G39" i="1"/>
  <c r="E39" i="1"/>
  <c r="G38" i="1"/>
  <c r="E38" i="1"/>
  <c r="G37" i="1"/>
  <c r="E37" i="1"/>
  <c r="G36" i="1"/>
  <c r="E36" i="1"/>
  <c r="G35" i="1"/>
  <c r="E35" i="1"/>
  <c r="G34" i="1"/>
  <c r="E34" i="1"/>
  <c r="G33" i="1"/>
  <c r="E33" i="1"/>
  <c r="G32" i="1"/>
  <c r="E32" i="1"/>
  <c r="G31" i="1"/>
  <c r="E31" i="1"/>
  <c r="G30" i="1"/>
  <c r="E30" i="1"/>
  <c r="G29" i="1"/>
  <c r="E29" i="1"/>
  <c r="G28" i="1"/>
  <c r="E28" i="1"/>
  <c r="G27" i="1"/>
  <c r="E27" i="1"/>
  <c r="G26" i="1"/>
  <c r="E26" i="1"/>
  <c r="G25" i="1"/>
  <c r="E25" i="1"/>
  <c r="G24" i="1"/>
  <c r="E24" i="1"/>
  <c r="G23" i="1"/>
  <c r="E23" i="1"/>
  <c r="G22" i="1"/>
  <c r="E22" i="1"/>
  <c r="G21" i="1"/>
  <c r="E21" i="1"/>
  <c r="G20" i="1"/>
  <c r="E20" i="1"/>
  <c r="G19" i="1"/>
  <c r="E19" i="1"/>
  <c r="G18" i="1"/>
  <c r="E18" i="1"/>
  <c r="G17" i="1"/>
  <c r="E17" i="1"/>
  <c r="G16" i="1"/>
  <c r="E16" i="1"/>
  <c r="G15" i="1"/>
  <c r="E15" i="1"/>
  <c r="G14" i="1"/>
  <c r="E14" i="1"/>
  <c r="G13" i="1"/>
  <c r="E13" i="1"/>
  <c r="G12" i="1"/>
  <c r="E12" i="1"/>
  <c r="G11" i="1"/>
  <c r="E11" i="1"/>
  <c r="G10" i="1"/>
  <c r="E10" i="1"/>
  <c r="G9" i="1"/>
  <c r="E9" i="1"/>
  <c r="G8" i="1"/>
  <c r="E8" i="1"/>
  <c r="G7" i="1"/>
  <c r="E7" i="1"/>
  <c r="G6" i="1"/>
  <c r="E6" i="1"/>
  <c r="G5" i="1"/>
  <c r="E5" i="1"/>
  <c r="G4" i="1"/>
  <c r="E4" i="1"/>
  <c r="G3" i="1"/>
  <c r="E3" i="1"/>
</calcChain>
</file>

<file path=xl/sharedStrings.xml><?xml version="1.0" encoding="utf-8"?>
<sst xmlns="http://schemas.openxmlformats.org/spreadsheetml/2006/main" count="183" uniqueCount="87">
  <si>
    <t>Squad</t>
  </si>
  <si>
    <t>Season</t>
  </si>
  <si>
    <t>Home Pts/MP</t>
  </si>
  <si>
    <t>COVID Season</t>
  </si>
  <si>
    <t>Average Home Attendance</t>
  </si>
  <si>
    <t>Stable Team</t>
  </si>
  <si>
    <t>CP7 Analysis Spec</t>
  </si>
  <si>
    <t> Arsenal</t>
  </si>
  <si>
    <t>2018-19</t>
  </si>
  <si>
    <t>2020-21</t>
  </si>
  <si>
    <t>Component</t>
  </si>
  <si>
    <t>Specification</t>
  </si>
  <si>
    <t>2023-24</t>
  </si>
  <si>
    <t>Outcome</t>
  </si>
  <si>
    <t>Home Points Per Match (Pts/MP)</t>
  </si>
  <si>
    <t>Question</t>
  </si>
  <si>
    <t>Method</t>
  </si>
  <si>
    <t>Sample</t>
  </si>
  <si>
    <t> Aston Villa</t>
  </si>
  <si>
    <t>Inputs</t>
  </si>
  <si>
    <t>Average Home Attendance, COVID Season Indicator, Stable Team Indicator</t>
  </si>
  <si>
    <t>CP6</t>
  </si>
  <si>
    <t>What happened on average?</t>
  </si>
  <si>
    <t>Home Pts/MP group mean comparison</t>
  </si>
  <si>
    <t>14 consistent teams</t>
  </si>
  <si>
    <t>Home Pts/MP fell by 0.39 during COVID</t>
  </si>
  <si>
    <t>All 20 Premier League teams</t>
  </si>
  <si>
    <t>CP7</t>
  </si>
  <si>
    <t>Why did it happen &amp; for which teams?</t>
  </si>
  <si>
    <t>Regression with average attendance and controls</t>
  </si>
  <si>
    <t>All 20 teams</t>
  </si>
  <si>
    <t>Reduced attendance explains much of the COVID season decline</t>
  </si>
  <si>
    <t> Bournemouth</t>
  </si>
  <si>
    <t>Row Definition</t>
  </si>
  <si>
    <t>One team observed in a given season</t>
  </si>
  <si>
    <t>Rule</t>
  </si>
  <si>
    <t>Estimate the relationship between attendance and home points per match while controlling for season effects</t>
  </si>
  <si>
    <t> Brentford</t>
  </si>
  <si>
    <t>Expected Direction</t>
  </si>
  <si>
    <t>Higher attendance associated with higher home performance</t>
  </si>
  <si>
    <t> Brighton</t>
  </si>
  <si>
    <t> Burnley</t>
  </si>
  <si>
    <t> Cardiff City</t>
  </si>
  <si>
    <t> Chelsea</t>
  </si>
  <si>
    <t> Crystal Palace</t>
  </si>
  <si>
    <t> Everton</t>
  </si>
  <si>
    <t> Fulham</t>
  </si>
  <si>
    <t> Huddersfield</t>
  </si>
  <si>
    <t> Leeds United</t>
  </si>
  <si>
    <t> Leicester City</t>
  </si>
  <si>
    <t> Liverpool</t>
  </si>
  <si>
    <t> Luton Town</t>
  </si>
  <si>
    <t> Manchester City</t>
  </si>
  <si>
    <t> Manchester Utd</t>
  </si>
  <si>
    <t> Newcastle Utd</t>
  </si>
  <si>
    <t> Nott'ham Forest</t>
  </si>
  <si>
    <t> Sheffield Utd</t>
  </si>
  <si>
    <t> Southampton</t>
  </si>
  <si>
    <t> Tottenham</t>
  </si>
  <si>
    <t> Watford</t>
  </si>
  <si>
    <t> West Brom</t>
  </si>
  <si>
    <t> West Ham</t>
  </si>
  <si>
    <t> Wolves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</si>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</sst>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name val="Verdana"/>
      <family val="2"/>
    </font>
    <font>
      <sz val="12"/>
      <color theme="1"/>
      <name val="Verdana"/>
      <family val="2"/>
    </font>
    <font>
      <sz val="12"/>
      <name val="Verdana"/>
      <family val="2"/>
    </font>
    <font>
      <b/>
      <sz val="12"/>
      <color theme="1"/>
      <name val="Verdana"/>
      <family val="2"/>
    </font>
    <font>
      <i/>
      <sz val="12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thin">
        <color theme="2"/>
      </right>
      <top/>
      <bottom style="thin">
        <color theme="2"/>
      </bottom>
      <diagonal/>
    </border>
    <border>
      <left style="thin">
        <color theme="2"/>
      </left>
      <right/>
      <top/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/>
      <right style="thin">
        <color theme="2"/>
      </right>
      <top style="thin">
        <color theme="2"/>
      </top>
      <bottom/>
      <diagonal/>
    </border>
    <border>
      <left style="thin">
        <color theme="2"/>
      </left>
      <right/>
      <top style="thin">
        <color theme="2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2" fillId="2" borderId="1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3" fillId="2" borderId="0" xfId="0" applyFont="1" applyFill="1"/>
    <xf numFmtId="0" fontId="3" fillId="0" borderId="0" xfId="0" applyFont="1"/>
    <xf numFmtId="0" fontId="4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horizontal="right"/>
    </xf>
    <xf numFmtId="3" fontId="4" fillId="0" borderId="1" xfId="0" applyNumberFormat="1" applyFont="1" applyBorder="1"/>
    <xf numFmtId="0" fontId="3" fillId="0" borderId="1" xfId="0" applyFont="1" applyBorder="1" applyAlignment="1">
      <alignment horizontal="right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5" xfId="0" applyFont="1" applyBorder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2" fontId="4" fillId="0" borderId="0" xfId="1" applyNumberFormat="1" applyFont="1" applyFill="1" applyBorder="1" applyAlignment="1"/>
    <xf numFmtId="2" fontId="4" fillId="0" borderId="0" xfId="0" applyNumberFormat="1" applyFont="1"/>
    <xf numFmtId="0" fontId="6" fillId="0" borderId="8" xfId="0" applyFont="1" applyBorder="1" applyAlignment="1">
      <alignment horizontal="centerContinuous"/>
    </xf>
    <xf numFmtId="0" fontId="3" fillId="0" borderId="9" xfId="0" applyFont="1" applyBorder="1"/>
    <xf numFmtId="0" fontId="6" fillId="0" borderId="8" xfId="0" applyFont="1" applyBorder="1" applyAlignment="1">
      <alignment horizontal="center"/>
    </xf>
    <xf numFmtId="0" fontId="3" fillId="3" borderId="0" xfId="0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038D7-7A60-B644-BB64-19F708AD4250}">
  <sheetPr codeName="Sheet6"/>
  <dimension ref="B2:Q62"/>
  <sheetViews>
    <sheetView showGridLines="0" tabSelected="1" zoomScale="90" workbookViewId="0"/>
  </sheetViews>
  <sheetFormatPr baseColWidth="10" defaultRowHeight="16" x14ac:dyDescent="0.2"/>
  <cols>
    <col min="1" max="1" width="10.83203125" style="4"/>
    <col min="2" max="2" width="18.5" style="4" bestFit="1" customWidth="1"/>
    <col min="3" max="3" width="12.1640625" style="4" bestFit="1" customWidth="1"/>
    <col min="4" max="4" width="19.83203125" style="4" bestFit="1" customWidth="1"/>
    <col min="5" max="5" width="20.5" style="4" bestFit="1" customWidth="1"/>
    <col min="6" max="6" width="34.83203125" style="4" bestFit="1" customWidth="1"/>
    <col min="7" max="7" width="20.5" style="4" customWidth="1"/>
    <col min="8" max="8" width="10.83203125" style="5" customWidth="1"/>
    <col min="9" max="9" width="25" style="4" bestFit="1" customWidth="1"/>
    <col min="10" max="10" width="84.83203125" style="4" bestFit="1" customWidth="1"/>
    <col min="11" max="11" width="10.83203125" style="4"/>
    <col min="12" max="12" width="6" style="4" bestFit="1" customWidth="1"/>
    <col min="13" max="13" width="42.1640625" style="4" bestFit="1" customWidth="1"/>
    <col min="14" max="14" width="54.83203125" style="4" bestFit="1" customWidth="1"/>
    <col min="15" max="15" width="22.5" style="4" bestFit="1" customWidth="1"/>
    <col min="16" max="16" width="71.5" style="4" bestFit="1" customWidth="1"/>
    <col min="17" max="16384" width="10.83203125" style="4"/>
  </cols>
  <sheetData>
    <row r="2" spans="2:17" x14ac:dyDescent="0.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2"/>
      <c r="I2" s="3" t="s">
        <v>6</v>
      </c>
      <c r="K2" s="5"/>
      <c r="L2" s="5"/>
      <c r="M2" s="5"/>
      <c r="N2" s="5"/>
    </row>
    <row r="3" spans="2:17" x14ac:dyDescent="0.2">
      <c r="B3" s="6" t="s">
        <v>7</v>
      </c>
      <c r="C3" s="7" t="s">
        <v>8</v>
      </c>
      <c r="D3" s="6">
        <v>2.37</v>
      </c>
      <c r="E3" s="6">
        <f>IF(C3="2020-21",1,0)</f>
        <v>0</v>
      </c>
      <c r="F3" s="8">
        <v>59899</v>
      </c>
      <c r="G3" s="6">
        <f>IF(COUNTIF($B$3:$B$62,B3)=3,1,0)</f>
        <v>1</v>
      </c>
      <c r="K3" s="5"/>
      <c r="M3" s="5"/>
      <c r="N3" s="5"/>
      <c r="O3" s="5"/>
      <c r="P3" s="5"/>
      <c r="Q3" s="5"/>
    </row>
    <row r="4" spans="2:17" x14ac:dyDescent="0.2">
      <c r="B4" s="6" t="s">
        <v>7</v>
      </c>
      <c r="C4" s="9" t="s">
        <v>9</v>
      </c>
      <c r="D4" s="6">
        <v>1.47</v>
      </c>
      <c r="E4" s="6">
        <f>IF(C4="2020-21",1,0)</f>
        <v>1</v>
      </c>
      <c r="F4" s="6">
        <v>632</v>
      </c>
      <c r="G4" s="6">
        <f>IF(COUNTIF($B$3:$B$62,B4)=3,1,0)</f>
        <v>1</v>
      </c>
      <c r="I4" s="10" t="s">
        <v>10</v>
      </c>
      <c r="J4" s="11" t="s">
        <v>11</v>
      </c>
      <c r="K4" s="5"/>
      <c r="L4" s="5"/>
      <c r="M4" s="5"/>
      <c r="N4" s="5"/>
      <c r="O4" s="5"/>
      <c r="P4" s="5"/>
      <c r="Q4" s="5"/>
    </row>
    <row r="5" spans="2:17" x14ac:dyDescent="0.2">
      <c r="B5" s="6" t="s">
        <v>7</v>
      </c>
      <c r="C5" s="9" t="s">
        <v>12</v>
      </c>
      <c r="D5" s="6">
        <v>2.4700000000000002</v>
      </c>
      <c r="E5" s="6">
        <f>IF(C5="2020-21",1,0)</f>
        <v>0</v>
      </c>
      <c r="F5" s="8">
        <v>60236</v>
      </c>
      <c r="G5" s="6">
        <f>IF(COUNTIF($B$3:$B$62,B5)=3,1,0)</f>
        <v>1</v>
      </c>
      <c r="I5" s="12" t="s">
        <v>13</v>
      </c>
      <c r="J5" s="13" t="s">
        <v>14</v>
      </c>
      <c r="K5" s="5"/>
      <c r="L5" s="14"/>
      <c r="M5" s="14" t="s">
        <v>15</v>
      </c>
      <c r="N5" s="14" t="s">
        <v>16</v>
      </c>
      <c r="O5" s="14" t="s">
        <v>17</v>
      </c>
      <c r="P5" s="14" t="s">
        <v>13</v>
      </c>
      <c r="Q5" s="5"/>
    </row>
    <row r="6" spans="2:17" x14ac:dyDescent="0.2">
      <c r="B6" s="6" t="s">
        <v>18</v>
      </c>
      <c r="C6" s="9" t="s">
        <v>9</v>
      </c>
      <c r="D6" s="6">
        <v>1.32</v>
      </c>
      <c r="E6" s="6">
        <f>IF(C6="2020-21",1,0)</f>
        <v>1</v>
      </c>
      <c r="F6" s="6">
        <v>526</v>
      </c>
      <c r="G6" s="6">
        <f>IF(COUNTIF($B$3:$B$62,B6)=3,1,0)</f>
        <v>0</v>
      </c>
      <c r="I6" s="12" t="s">
        <v>19</v>
      </c>
      <c r="J6" s="13" t="s">
        <v>20</v>
      </c>
      <c r="K6" s="5"/>
      <c r="L6" s="14" t="s">
        <v>21</v>
      </c>
      <c r="M6" s="15" t="s">
        <v>22</v>
      </c>
      <c r="N6" s="15" t="s">
        <v>23</v>
      </c>
      <c r="O6" s="15" t="s">
        <v>24</v>
      </c>
      <c r="P6" s="15" t="s">
        <v>25</v>
      </c>
      <c r="Q6" s="5"/>
    </row>
    <row r="7" spans="2:17" x14ac:dyDescent="0.2">
      <c r="B7" s="6" t="s">
        <v>18</v>
      </c>
      <c r="C7" s="9" t="s">
        <v>12</v>
      </c>
      <c r="D7" s="6">
        <v>2.11</v>
      </c>
      <c r="E7" s="6">
        <f>IF(C7="2020-21",1,0)</f>
        <v>0</v>
      </c>
      <c r="F7" s="8">
        <v>41858</v>
      </c>
      <c r="G7" s="6">
        <f>IF(COUNTIF($B$3:$B$62,B7)=3,1,0)</f>
        <v>0</v>
      </c>
      <c r="I7" s="12" t="s">
        <v>17</v>
      </c>
      <c r="J7" s="13" t="s">
        <v>26</v>
      </c>
      <c r="K7" s="5"/>
      <c r="L7" s="14" t="s">
        <v>27</v>
      </c>
      <c r="M7" s="15" t="s">
        <v>28</v>
      </c>
      <c r="N7" s="15" t="s">
        <v>29</v>
      </c>
      <c r="O7" s="15" t="s">
        <v>30</v>
      </c>
      <c r="P7" s="15" t="s">
        <v>31</v>
      </c>
      <c r="Q7" s="5"/>
    </row>
    <row r="8" spans="2:17" x14ac:dyDescent="0.2">
      <c r="B8" s="6" t="s">
        <v>32</v>
      </c>
      <c r="C8" s="7" t="s">
        <v>8</v>
      </c>
      <c r="D8" s="6">
        <v>1.53</v>
      </c>
      <c r="E8" s="6">
        <f>IF(C8="2020-21",1,0)</f>
        <v>0</v>
      </c>
      <c r="F8" s="8">
        <v>10532</v>
      </c>
      <c r="G8" s="6">
        <f>IF(COUNTIF($B$3:$B$62,B8)=3,1,0)</f>
        <v>0</v>
      </c>
      <c r="I8" s="12" t="s">
        <v>33</v>
      </c>
      <c r="J8" s="13" t="s">
        <v>34</v>
      </c>
      <c r="K8" s="5"/>
    </row>
    <row r="9" spans="2:17" ht="34" x14ac:dyDescent="0.2">
      <c r="B9" s="6" t="s">
        <v>32</v>
      </c>
      <c r="C9" s="9" t="s">
        <v>12</v>
      </c>
      <c r="D9" s="6">
        <v>1.42</v>
      </c>
      <c r="E9" s="6">
        <f>IF(C9="2020-21",1,0)</f>
        <v>0</v>
      </c>
      <c r="F9" s="8">
        <v>11103</v>
      </c>
      <c r="G9" s="6">
        <f>IF(COUNTIF($B$3:$B$62,B9)=3,1,0)</f>
        <v>0</v>
      </c>
      <c r="I9" s="12" t="s">
        <v>35</v>
      </c>
      <c r="J9" s="16" t="s">
        <v>36</v>
      </c>
      <c r="K9" s="17"/>
      <c r="L9" s="5"/>
      <c r="M9" s="5"/>
      <c r="N9" s="5"/>
    </row>
    <row r="10" spans="2:17" x14ac:dyDescent="0.2">
      <c r="B10" s="6" t="s">
        <v>37</v>
      </c>
      <c r="C10" s="9" t="s">
        <v>12</v>
      </c>
      <c r="D10" s="6">
        <v>1.1599999999999999</v>
      </c>
      <c r="E10" s="6">
        <f>IF(C10="2020-21",1,0)</f>
        <v>0</v>
      </c>
      <c r="F10" s="8">
        <v>17082</v>
      </c>
      <c r="G10" s="6">
        <f>IF(COUNTIF($B$3:$B$62,B10)=3,1,0)</f>
        <v>0</v>
      </c>
      <c r="I10" s="18" t="s">
        <v>38</v>
      </c>
      <c r="J10" s="19" t="s">
        <v>39</v>
      </c>
      <c r="K10" s="20"/>
      <c r="L10" s="5"/>
      <c r="M10" s="5"/>
      <c r="N10" s="5"/>
    </row>
    <row r="11" spans="2:17" x14ac:dyDescent="0.2">
      <c r="B11" s="6" t="s">
        <v>40</v>
      </c>
      <c r="C11" s="7" t="s">
        <v>8</v>
      </c>
      <c r="D11" s="6">
        <v>1.21</v>
      </c>
      <c r="E11" s="6">
        <f>IF(C11="2020-21",1,0)</f>
        <v>0</v>
      </c>
      <c r="F11" s="8">
        <v>30426</v>
      </c>
      <c r="G11" s="6">
        <f>IF(COUNTIF($B$3:$B$62,B11)=3,1,0)</f>
        <v>1</v>
      </c>
      <c r="K11" s="20"/>
      <c r="L11" s="5"/>
      <c r="M11" s="5"/>
      <c r="N11" s="5"/>
    </row>
    <row r="12" spans="2:17" x14ac:dyDescent="0.2">
      <c r="B12" s="6" t="s">
        <v>40</v>
      </c>
      <c r="C12" s="9" t="s">
        <v>9</v>
      </c>
      <c r="D12" s="6">
        <v>1.1100000000000001</v>
      </c>
      <c r="E12" s="6">
        <f>IF(C12="2020-21",1,0)</f>
        <v>1</v>
      </c>
      <c r="F12" s="6">
        <v>523</v>
      </c>
      <c r="G12" s="6">
        <f>IF(COUNTIF($B$3:$B$62,B12)=3,1,0)</f>
        <v>1</v>
      </c>
      <c r="I12" s="21"/>
      <c r="J12" s="21"/>
      <c r="K12" s="20"/>
      <c r="L12" s="5"/>
      <c r="M12" s="5"/>
      <c r="N12" s="5"/>
    </row>
    <row r="13" spans="2:17" x14ac:dyDescent="0.2">
      <c r="B13" s="6" t="s">
        <v>40</v>
      </c>
      <c r="C13" s="9" t="s">
        <v>12</v>
      </c>
      <c r="D13" s="6">
        <v>1.58</v>
      </c>
      <c r="E13" s="6">
        <f>IF(C13="2020-21",1,0)</f>
        <v>0</v>
      </c>
      <c r="F13" s="8">
        <v>32638</v>
      </c>
      <c r="G13" s="6">
        <f>IF(COUNTIF($B$3:$B$62,B13)=3,1,0)</f>
        <v>1</v>
      </c>
    </row>
    <row r="14" spans="2:17" x14ac:dyDescent="0.2">
      <c r="B14" s="6" t="s">
        <v>41</v>
      </c>
      <c r="C14" s="7" t="s">
        <v>8</v>
      </c>
      <c r="D14" s="6">
        <v>1.21</v>
      </c>
      <c r="E14" s="6">
        <f>IF(C14="2020-21",1,0)</f>
        <v>0</v>
      </c>
      <c r="F14" s="8">
        <v>20534</v>
      </c>
      <c r="G14" s="6">
        <f>IF(COUNTIF($B$3:$B$62,B14)=3,1,0)</f>
        <v>1</v>
      </c>
    </row>
    <row r="15" spans="2:17" x14ac:dyDescent="0.2">
      <c r="B15" s="6" t="s">
        <v>41</v>
      </c>
      <c r="C15" s="9" t="s">
        <v>9</v>
      </c>
      <c r="D15" s="6">
        <v>0.95</v>
      </c>
      <c r="E15" s="6">
        <f>IF(C15="2020-21",1,0)</f>
        <v>1</v>
      </c>
      <c r="F15" s="6">
        <v>178</v>
      </c>
      <c r="G15" s="6">
        <f>IF(COUNTIF($B$3:$B$62,B15)=3,1,0)</f>
        <v>1</v>
      </c>
    </row>
    <row r="16" spans="2:17" x14ac:dyDescent="0.2">
      <c r="B16" s="6" t="s">
        <v>41</v>
      </c>
      <c r="C16" s="9" t="s">
        <v>12</v>
      </c>
      <c r="D16" s="6">
        <v>0.53</v>
      </c>
      <c r="E16" s="6">
        <f>IF(C16="2020-21",1,0)</f>
        <v>0</v>
      </c>
      <c r="F16" s="8">
        <v>21184</v>
      </c>
      <c r="G16" s="6">
        <f>IF(COUNTIF($B$3:$B$62,B16)=3,1,0)</f>
        <v>1</v>
      </c>
    </row>
    <row r="17" spans="2:14" x14ac:dyDescent="0.2">
      <c r="B17" s="6" t="s">
        <v>42</v>
      </c>
      <c r="C17" s="7" t="s">
        <v>8</v>
      </c>
      <c r="D17" s="6">
        <v>1.05</v>
      </c>
      <c r="E17" s="6">
        <f>IF(C17="2020-21",1,0)</f>
        <v>0</v>
      </c>
      <c r="F17" s="8">
        <v>31408</v>
      </c>
      <c r="G17" s="6">
        <f>IF(COUNTIF($B$3:$B$62,B17)=3,1,0)</f>
        <v>0</v>
      </c>
    </row>
    <row r="18" spans="2:14" x14ac:dyDescent="0.2">
      <c r="B18" s="6" t="s">
        <v>43</v>
      </c>
      <c r="C18" s="7" t="s">
        <v>8</v>
      </c>
      <c r="D18" s="6">
        <v>2.21</v>
      </c>
      <c r="E18" s="6">
        <f>IF(C18="2020-21",1,0)</f>
        <v>0</v>
      </c>
      <c r="F18" s="8">
        <v>40437</v>
      </c>
      <c r="G18" s="6">
        <f>IF(COUNTIF($B$3:$B$62,B18)=3,1,0)</f>
        <v>1</v>
      </c>
      <c r="I18" s="5"/>
      <c r="J18" s="5"/>
      <c r="K18" s="5"/>
      <c r="L18" s="5"/>
      <c r="M18" s="5"/>
      <c r="N18" s="5"/>
    </row>
    <row r="19" spans="2:14" x14ac:dyDescent="0.2">
      <c r="B19" s="6" t="s">
        <v>43</v>
      </c>
      <c r="C19" s="9" t="s">
        <v>9</v>
      </c>
      <c r="D19" s="6">
        <v>1.74</v>
      </c>
      <c r="E19" s="6">
        <f>IF(C19="2020-21",1,0)</f>
        <v>1</v>
      </c>
      <c r="F19" s="6">
        <v>526</v>
      </c>
      <c r="G19" s="6">
        <f>IF(COUNTIF($B$3:$B$62,B19)=3,1,0)</f>
        <v>1</v>
      </c>
      <c r="I19" s="5"/>
      <c r="J19" s="5"/>
      <c r="K19" s="5"/>
      <c r="L19" s="5"/>
      <c r="M19" s="5"/>
      <c r="N19" s="5"/>
    </row>
    <row r="20" spans="2:14" x14ac:dyDescent="0.2">
      <c r="B20" s="6" t="s">
        <v>43</v>
      </c>
      <c r="C20" s="9" t="s">
        <v>12</v>
      </c>
      <c r="D20" s="6">
        <v>1.95</v>
      </c>
      <c r="E20" s="6">
        <f>IF(C20="2020-21",1,0)</f>
        <v>0</v>
      </c>
      <c r="F20" s="8">
        <v>39524</v>
      </c>
      <c r="G20" s="6">
        <f>IF(COUNTIF($B$3:$B$62,B20)=3,1,0)</f>
        <v>1</v>
      </c>
      <c r="I20" s="5"/>
      <c r="J20" s="5"/>
      <c r="K20" s="5"/>
      <c r="L20" s="5"/>
      <c r="M20" s="5"/>
      <c r="N20" s="5"/>
    </row>
    <row r="21" spans="2:14" x14ac:dyDescent="0.2">
      <c r="B21" s="6" t="s">
        <v>44</v>
      </c>
      <c r="C21" s="7" t="s">
        <v>8</v>
      </c>
      <c r="D21" s="6">
        <v>1.05</v>
      </c>
      <c r="E21" s="6">
        <f>IF(C21="2020-21",1,0)</f>
        <v>0</v>
      </c>
      <c r="F21" s="8">
        <v>25455</v>
      </c>
      <c r="G21" s="6">
        <f>IF(COUNTIF($B$3:$B$62,B21)=3,1,0)</f>
        <v>1</v>
      </c>
    </row>
    <row r="22" spans="2:14" x14ac:dyDescent="0.2">
      <c r="B22" s="6" t="s">
        <v>44</v>
      </c>
      <c r="C22" s="9" t="s">
        <v>9</v>
      </c>
      <c r="D22" s="6">
        <v>1.21</v>
      </c>
      <c r="E22" s="6">
        <f>IF(C22="2020-21",1,0)</f>
        <v>1</v>
      </c>
      <c r="F22" s="6">
        <v>447</v>
      </c>
      <c r="G22" s="6">
        <f>IF(COUNTIF($B$3:$B$62,B22)=3,1,0)</f>
        <v>1</v>
      </c>
    </row>
    <row r="23" spans="2:14" x14ac:dyDescent="0.2">
      <c r="B23" s="6" t="s">
        <v>44</v>
      </c>
      <c r="C23" s="9" t="s">
        <v>12</v>
      </c>
      <c r="D23" s="6">
        <v>1.47</v>
      </c>
      <c r="E23" s="6">
        <f>IF(C23="2020-21",1,0)</f>
        <v>0</v>
      </c>
      <c r="F23" s="8">
        <v>24932</v>
      </c>
      <c r="G23" s="6">
        <f>IF(COUNTIF($B$3:$B$62,B23)=3,1,0)</f>
        <v>1</v>
      </c>
    </row>
    <row r="24" spans="2:14" x14ac:dyDescent="0.2">
      <c r="B24" s="6" t="s">
        <v>45</v>
      </c>
      <c r="C24" s="7" t="s">
        <v>8</v>
      </c>
      <c r="D24" s="6">
        <v>1.79</v>
      </c>
      <c r="E24" s="6">
        <f>IF(C24="2020-21",1,0)</f>
        <v>0</v>
      </c>
      <c r="F24" s="8">
        <v>39043</v>
      </c>
      <c r="G24" s="6">
        <f>IF(COUNTIF($B$3:$B$62,B24)=3,1,0)</f>
        <v>1</v>
      </c>
    </row>
    <row r="25" spans="2:14" x14ac:dyDescent="0.2">
      <c r="B25" s="6" t="s">
        <v>45</v>
      </c>
      <c r="C25" s="9" t="s">
        <v>9</v>
      </c>
      <c r="D25" s="6">
        <v>1.1599999999999999</v>
      </c>
      <c r="E25" s="6">
        <f>IF(C25="2020-21",1,0)</f>
        <v>1</v>
      </c>
      <c r="F25" s="6">
        <v>368</v>
      </c>
      <c r="G25" s="6">
        <f>IF(COUNTIF($B$3:$B$62,B25)=3,1,0)</f>
        <v>1</v>
      </c>
    </row>
    <row r="26" spans="2:14" x14ac:dyDescent="0.2">
      <c r="B26" s="6" t="s">
        <v>45</v>
      </c>
      <c r="C26" s="9" t="s">
        <v>12</v>
      </c>
      <c r="D26" s="6">
        <v>1.47</v>
      </c>
      <c r="E26" s="6">
        <f>IF(C26="2020-21",1,0)</f>
        <v>0</v>
      </c>
      <c r="F26" s="8">
        <v>39042</v>
      </c>
      <c r="G26" s="6">
        <f>IF(COUNTIF($B$3:$B$62,B26)=3,1,0)</f>
        <v>1</v>
      </c>
    </row>
    <row r="27" spans="2:14" x14ac:dyDescent="0.2">
      <c r="B27" s="6" t="s">
        <v>46</v>
      </c>
      <c r="C27" s="7" t="s">
        <v>8</v>
      </c>
      <c r="D27" s="6">
        <v>1.1100000000000001</v>
      </c>
      <c r="E27" s="6">
        <f>IF(C27="2020-21",1,0)</f>
        <v>0</v>
      </c>
      <c r="F27" s="8">
        <v>24371</v>
      </c>
      <c r="G27" s="6">
        <f>IF(COUNTIF($B$3:$B$62,B27)=3,1,0)</f>
        <v>1</v>
      </c>
    </row>
    <row r="28" spans="2:14" x14ac:dyDescent="0.2">
      <c r="B28" s="6" t="s">
        <v>46</v>
      </c>
      <c r="C28" s="9" t="s">
        <v>9</v>
      </c>
      <c r="D28" s="6">
        <v>0.53</v>
      </c>
      <c r="E28" s="6">
        <f>IF(C28="2020-21",1,0)</f>
        <v>1</v>
      </c>
      <c r="F28" s="6">
        <v>211</v>
      </c>
      <c r="G28" s="6">
        <f>IF(COUNTIF($B$3:$B$62,B28)=3,1,0)</f>
        <v>1</v>
      </c>
    </row>
    <row r="29" spans="2:14" x14ac:dyDescent="0.2">
      <c r="B29" s="6" t="s">
        <v>46</v>
      </c>
      <c r="C29" s="9" t="s">
        <v>12</v>
      </c>
      <c r="D29" s="6">
        <v>1.53</v>
      </c>
      <c r="E29" s="6">
        <f>IF(C29="2020-21",1,0)</f>
        <v>0</v>
      </c>
      <c r="F29" s="8">
        <v>24302</v>
      </c>
      <c r="G29" s="6">
        <f>IF(COUNTIF($B$3:$B$62,B29)=3,1,0)</f>
        <v>1</v>
      </c>
    </row>
    <row r="30" spans="2:14" x14ac:dyDescent="0.2">
      <c r="B30" s="6" t="s">
        <v>47</v>
      </c>
      <c r="C30" s="7" t="s">
        <v>8</v>
      </c>
      <c r="D30" s="6">
        <v>0.47</v>
      </c>
      <c r="E30" s="6">
        <f>IF(C30="2020-21",1,0)</f>
        <v>0</v>
      </c>
      <c r="F30" s="8">
        <v>23203</v>
      </c>
      <c r="G30" s="6">
        <f>IF(COUNTIF($B$3:$B$62,B30)=3,1,0)</f>
        <v>0</v>
      </c>
    </row>
    <row r="31" spans="2:14" x14ac:dyDescent="0.2">
      <c r="B31" s="6" t="s">
        <v>48</v>
      </c>
      <c r="C31" s="9" t="s">
        <v>9</v>
      </c>
      <c r="D31" s="6">
        <v>1.53</v>
      </c>
      <c r="E31" s="6">
        <f>IF(C31="2020-21",1,0)</f>
        <v>1</v>
      </c>
      <c r="F31" s="6">
        <v>421</v>
      </c>
      <c r="G31" s="6">
        <f>IF(COUNTIF($B$3:$B$62,B31)=3,1,0)</f>
        <v>0</v>
      </c>
    </row>
    <row r="32" spans="2:14" x14ac:dyDescent="0.2">
      <c r="B32" s="6" t="s">
        <v>49</v>
      </c>
      <c r="C32" s="7" t="s">
        <v>8</v>
      </c>
      <c r="D32" s="6">
        <v>1.42</v>
      </c>
      <c r="E32" s="6">
        <f>IF(C32="2020-21",1,0)</f>
        <v>0</v>
      </c>
      <c r="F32" s="8">
        <v>31851</v>
      </c>
      <c r="G32" s="6">
        <f>IF(COUNTIF($B$3:$B$62,B32)=3,1,0)</f>
        <v>0</v>
      </c>
    </row>
    <row r="33" spans="2:7" x14ac:dyDescent="0.2">
      <c r="B33" s="6" t="s">
        <v>49</v>
      </c>
      <c r="C33" s="9" t="s">
        <v>9</v>
      </c>
      <c r="D33" s="6">
        <v>1.47</v>
      </c>
      <c r="E33" s="6">
        <f>IF(C33="2020-21",1,0)</f>
        <v>1</v>
      </c>
      <c r="F33" s="6">
        <v>421</v>
      </c>
      <c r="G33" s="6">
        <f>IF(COUNTIF($B$3:$B$62,B33)=3,1,0)</f>
        <v>0</v>
      </c>
    </row>
    <row r="34" spans="2:7" x14ac:dyDescent="0.2">
      <c r="B34" s="6" t="s">
        <v>50</v>
      </c>
      <c r="C34" s="7" t="s">
        <v>8</v>
      </c>
      <c r="D34" s="6">
        <v>2.79</v>
      </c>
      <c r="E34" s="6">
        <f>IF(C34="2020-21",1,0)</f>
        <v>0</v>
      </c>
      <c r="F34" s="8">
        <v>52983</v>
      </c>
      <c r="G34" s="6">
        <f>IF(COUNTIF($B$3:$B$62,B34)=3,1,0)</f>
        <v>1</v>
      </c>
    </row>
    <row r="35" spans="2:7" x14ac:dyDescent="0.2">
      <c r="B35" s="6" t="s">
        <v>50</v>
      </c>
      <c r="C35" s="9" t="s">
        <v>9</v>
      </c>
      <c r="D35" s="6">
        <v>1.74</v>
      </c>
      <c r="E35" s="6">
        <f>IF(C35="2020-21",1,0)</f>
        <v>1</v>
      </c>
      <c r="F35" s="6">
        <v>837</v>
      </c>
      <c r="G35" s="6">
        <f>IF(COUNTIF($B$3:$B$62,B35)=3,1,0)</f>
        <v>1</v>
      </c>
    </row>
    <row r="36" spans="2:7" x14ac:dyDescent="0.2">
      <c r="B36" s="6" t="s">
        <v>50</v>
      </c>
      <c r="C36" s="9" t="s">
        <v>12</v>
      </c>
      <c r="D36" s="6">
        <v>2.5299999999999998</v>
      </c>
      <c r="E36" s="6">
        <f>IF(C36="2020-21",1,0)</f>
        <v>0</v>
      </c>
      <c r="F36" s="8">
        <v>55979</v>
      </c>
      <c r="G36" s="6">
        <f>IF(COUNTIF($B$3:$B$62,B36)=3,1,0)</f>
        <v>1</v>
      </c>
    </row>
    <row r="37" spans="2:7" x14ac:dyDescent="0.2">
      <c r="B37" s="6" t="s">
        <v>51</v>
      </c>
      <c r="C37" s="9" t="s">
        <v>12</v>
      </c>
      <c r="D37" s="6">
        <v>0.84</v>
      </c>
      <c r="E37" s="6">
        <f>IF(C37="2020-21",1,0)</f>
        <v>0</v>
      </c>
      <c r="F37" s="8">
        <v>11240</v>
      </c>
      <c r="G37" s="6">
        <f>IF(COUNTIF($B$3:$B$62,B37)=3,1,0)</f>
        <v>0</v>
      </c>
    </row>
    <row r="38" spans="2:7" x14ac:dyDescent="0.2">
      <c r="B38" s="6" t="s">
        <v>52</v>
      </c>
      <c r="C38" s="7" t="s">
        <v>8</v>
      </c>
      <c r="D38" s="6">
        <v>2.84</v>
      </c>
      <c r="E38" s="6">
        <f>IF(C38="2020-21",1,0)</f>
        <v>0</v>
      </c>
      <c r="F38" s="8">
        <v>54130</v>
      </c>
      <c r="G38" s="6">
        <f>IF(COUNTIF($B$3:$B$62,B38)=3,1,0)</f>
        <v>1</v>
      </c>
    </row>
    <row r="39" spans="2:7" x14ac:dyDescent="0.2">
      <c r="B39" s="6" t="s">
        <v>52</v>
      </c>
      <c r="C39" s="9" t="s">
        <v>9</v>
      </c>
      <c r="D39" s="6">
        <v>2.16</v>
      </c>
      <c r="E39" s="6">
        <f>IF(C39="2020-21",1,0)</f>
        <v>1</v>
      </c>
      <c r="F39" s="6">
        <v>526</v>
      </c>
      <c r="G39" s="6">
        <f>IF(COUNTIF($B$3:$B$62,B39)=3,1,0)</f>
        <v>1</v>
      </c>
    </row>
    <row r="40" spans="2:7" x14ac:dyDescent="0.2">
      <c r="B40" s="6" t="s">
        <v>52</v>
      </c>
      <c r="C40" s="9" t="s">
        <v>12</v>
      </c>
      <c r="D40" s="6">
        <v>2.4700000000000002</v>
      </c>
      <c r="E40" s="6">
        <f>IF(C40="2020-21",1,0)</f>
        <v>0</v>
      </c>
      <c r="F40" s="8">
        <v>53012</v>
      </c>
      <c r="G40" s="6">
        <f>IF(COUNTIF($B$3:$B$62,B40)=3,1,0)</f>
        <v>1</v>
      </c>
    </row>
    <row r="41" spans="2:7" x14ac:dyDescent="0.2">
      <c r="B41" s="6" t="s">
        <v>53</v>
      </c>
      <c r="C41" s="7" t="s">
        <v>8</v>
      </c>
      <c r="D41" s="6">
        <v>1.89</v>
      </c>
      <c r="E41" s="6">
        <f>IF(C41="2020-21",1,0)</f>
        <v>0</v>
      </c>
      <c r="F41" s="8">
        <v>74498</v>
      </c>
      <c r="G41" s="6">
        <f>IF(COUNTIF($B$3:$B$62,B41)=3,1,0)</f>
        <v>1</v>
      </c>
    </row>
    <row r="42" spans="2:7" x14ac:dyDescent="0.2">
      <c r="B42" s="6" t="s">
        <v>53</v>
      </c>
      <c r="C42" s="9" t="s">
        <v>9</v>
      </c>
      <c r="D42" s="6">
        <v>1.63</v>
      </c>
      <c r="E42" s="6">
        <f>IF(C42="2020-21",1,0)</f>
        <v>1</v>
      </c>
      <c r="F42" s="6">
        <v>526</v>
      </c>
      <c r="G42" s="6">
        <f>IF(COUNTIF($B$3:$B$62,B42)=3,1,0)</f>
        <v>1</v>
      </c>
    </row>
    <row r="43" spans="2:7" x14ac:dyDescent="0.2">
      <c r="B43" s="6" t="s">
        <v>53</v>
      </c>
      <c r="C43" s="9" t="s">
        <v>12</v>
      </c>
      <c r="D43" s="6">
        <v>1.74</v>
      </c>
      <c r="E43" s="6">
        <f>IF(C43="2020-21",1,0)</f>
        <v>0</v>
      </c>
      <c r="F43" s="8">
        <v>73533</v>
      </c>
      <c r="G43" s="6">
        <f>IF(COUNTIF($B$3:$B$62,B43)=3,1,0)</f>
        <v>1</v>
      </c>
    </row>
    <row r="44" spans="2:7" x14ac:dyDescent="0.2">
      <c r="B44" s="6" t="s">
        <v>54</v>
      </c>
      <c r="C44" s="7" t="s">
        <v>8</v>
      </c>
      <c r="D44" s="6">
        <v>1.32</v>
      </c>
      <c r="E44" s="6">
        <f>IF(C44="2020-21",1,0)</f>
        <v>0</v>
      </c>
      <c r="F44" s="8">
        <v>51121</v>
      </c>
      <c r="G44" s="6">
        <f>IF(COUNTIF($B$3:$B$62,B44)=3,1,0)</f>
        <v>1</v>
      </c>
    </row>
    <row r="45" spans="2:7" x14ac:dyDescent="0.2">
      <c r="B45" s="6" t="s">
        <v>54</v>
      </c>
      <c r="C45" s="9" t="s">
        <v>9</v>
      </c>
      <c r="D45" s="6">
        <v>1.21</v>
      </c>
      <c r="E45" s="6">
        <f>IF(C45="2020-21",1,0)</f>
        <v>1</v>
      </c>
      <c r="F45" s="6">
        <v>526</v>
      </c>
      <c r="G45" s="6">
        <f>IF(COUNTIF($B$3:$B$62,B45)=3,1,0)</f>
        <v>1</v>
      </c>
    </row>
    <row r="46" spans="2:7" x14ac:dyDescent="0.2">
      <c r="B46" s="6" t="s">
        <v>54</v>
      </c>
      <c r="C46" s="9" t="s">
        <v>12</v>
      </c>
      <c r="D46" s="6">
        <v>2.11</v>
      </c>
      <c r="E46" s="6">
        <f>IF(C46="2020-21",1,0)</f>
        <v>0</v>
      </c>
      <c r="F46" s="8">
        <v>52125</v>
      </c>
      <c r="G46" s="6">
        <f>IF(COUNTIF($B$3:$B$62,B46)=3,1,0)</f>
        <v>1</v>
      </c>
    </row>
    <row r="47" spans="2:7" x14ac:dyDescent="0.2">
      <c r="B47" s="6" t="s">
        <v>55</v>
      </c>
      <c r="C47" s="9" t="s">
        <v>12</v>
      </c>
      <c r="D47" s="6">
        <v>1.05</v>
      </c>
      <c r="E47" s="6">
        <f>IF(C47="2020-21",1,0)</f>
        <v>0</v>
      </c>
      <c r="F47" s="8">
        <v>29386</v>
      </c>
      <c r="G47" s="6">
        <f>IF(COUNTIF($B$3:$B$62,B47)=3,1,0)</f>
        <v>0</v>
      </c>
    </row>
    <row r="48" spans="2:7" x14ac:dyDescent="0.2">
      <c r="B48" s="6" t="s">
        <v>56</v>
      </c>
      <c r="C48" s="9" t="s">
        <v>9</v>
      </c>
      <c r="D48" s="6">
        <v>0.84</v>
      </c>
      <c r="E48" s="6">
        <f>IF(C48="2020-21",1,0)</f>
        <v>1</v>
      </c>
      <c r="F48" s="6">
        <v>263</v>
      </c>
      <c r="G48" s="6">
        <f>IF(COUNTIF($B$3:$B$62,B48)=3,1,0)</f>
        <v>0</v>
      </c>
    </row>
    <row r="49" spans="2:7" x14ac:dyDescent="0.2">
      <c r="B49" s="6" t="s">
        <v>56</v>
      </c>
      <c r="C49" s="9" t="s">
        <v>12</v>
      </c>
      <c r="D49" s="6">
        <v>0.53</v>
      </c>
      <c r="E49" s="6">
        <f>IF(C49="2020-21",1,0)</f>
        <v>0</v>
      </c>
      <c r="F49" s="8">
        <v>30011</v>
      </c>
      <c r="G49" s="6">
        <f>IF(COUNTIF($B$3:$B$62,B49)=3,1,0)</f>
        <v>0</v>
      </c>
    </row>
    <row r="50" spans="2:7" x14ac:dyDescent="0.2">
      <c r="B50" s="6" t="s">
        <v>57</v>
      </c>
      <c r="C50" s="7" t="s">
        <v>8</v>
      </c>
      <c r="D50" s="6">
        <v>1.21</v>
      </c>
      <c r="E50" s="6">
        <f>IF(C50="2020-21",1,0)</f>
        <v>0</v>
      </c>
      <c r="F50" s="8">
        <v>30139</v>
      </c>
      <c r="G50" s="6">
        <f>IF(COUNTIF($B$3:$B$62,B50)=3,1,0)</f>
        <v>0</v>
      </c>
    </row>
    <row r="51" spans="2:7" x14ac:dyDescent="0.2">
      <c r="B51" s="6" t="s">
        <v>57</v>
      </c>
      <c r="C51" s="9" t="s">
        <v>9</v>
      </c>
      <c r="D51" s="6">
        <v>1.42</v>
      </c>
      <c r="E51" s="6">
        <f>IF(C51="2020-21",1,0)</f>
        <v>1</v>
      </c>
      <c r="F51" s="6">
        <v>526</v>
      </c>
      <c r="G51" s="6">
        <f>IF(COUNTIF($B$3:$B$62,B51)=3,1,0)</f>
        <v>0</v>
      </c>
    </row>
    <row r="52" spans="2:7" x14ac:dyDescent="0.2">
      <c r="B52" s="6" t="s">
        <v>58</v>
      </c>
      <c r="C52" s="7" t="s">
        <v>8</v>
      </c>
      <c r="D52" s="6">
        <v>2</v>
      </c>
      <c r="E52" s="6">
        <f>IF(C52="2020-21",1,0)</f>
        <v>0</v>
      </c>
      <c r="F52" s="8">
        <v>54216</v>
      </c>
      <c r="G52" s="6">
        <f>IF(COUNTIF($B$3:$B$62,B52)=3,1,0)</f>
        <v>1</v>
      </c>
    </row>
    <row r="53" spans="2:7" x14ac:dyDescent="0.2">
      <c r="B53" s="6" t="s">
        <v>58</v>
      </c>
      <c r="C53" s="9" t="s">
        <v>9</v>
      </c>
      <c r="D53" s="6">
        <v>1.74</v>
      </c>
      <c r="E53" s="6">
        <f>IF(C53="2020-21",1,0)</f>
        <v>1</v>
      </c>
      <c r="F53" s="6">
        <v>632</v>
      </c>
      <c r="G53" s="6">
        <f>IF(COUNTIF($B$3:$B$62,B53)=3,1,0)</f>
        <v>1</v>
      </c>
    </row>
    <row r="54" spans="2:7" x14ac:dyDescent="0.2">
      <c r="B54" s="6" t="s">
        <v>58</v>
      </c>
      <c r="C54" s="9" t="s">
        <v>12</v>
      </c>
      <c r="D54" s="6">
        <v>2.0499999999999998</v>
      </c>
      <c r="E54" s="6">
        <f>IF(C54="2020-21",1,0)</f>
        <v>0</v>
      </c>
      <c r="F54" s="8">
        <v>61482</v>
      </c>
      <c r="G54" s="6">
        <f>IF(COUNTIF($B$3:$B$62,B54)=3,1,0)</f>
        <v>1</v>
      </c>
    </row>
    <row r="55" spans="2:7" x14ac:dyDescent="0.2">
      <c r="B55" s="6" t="s">
        <v>59</v>
      </c>
      <c r="C55" s="7" t="s">
        <v>8</v>
      </c>
      <c r="D55" s="6">
        <v>1.42</v>
      </c>
      <c r="E55" s="6">
        <f>IF(C55="2020-21",1,0)</f>
        <v>0</v>
      </c>
      <c r="F55" s="8">
        <v>20016</v>
      </c>
      <c r="G55" s="6">
        <f>IF(COUNTIF($B$3:$B$62,B55)=3,1,0)</f>
        <v>0</v>
      </c>
    </row>
    <row r="56" spans="2:7" x14ac:dyDescent="0.2">
      <c r="B56" s="6" t="s">
        <v>60</v>
      </c>
      <c r="C56" s="9" t="s">
        <v>9</v>
      </c>
      <c r="D56" s="6">
        <v>0.79</v>
      </c>
      <c r="E56" s="6">
        <f>IF(C56="2020-21",1,0)</f>
        <v>1</v>
      </c>
      <c r="F56" s="6">
        <v>283</v>
      </c>
      <c r="G56" s="6">
        <f>IF(COUNTIF($B$3:$B$62,B56)=3,1,0)</f>
        <v>0</v>
      </c>
    </row>
    <row r="57" spans="2:7" x14ac:dyDescent="0.2">
      <c r="B57" s="6" t="s">
        <v>61</v>
      </c>
      <c r="C57" s="7" t="s">
        <v>8</v>
      </c>
      <c r="D57" s="6">
        <v>1.63</v>
      </c>
      <c r="E57" s="6">
        <f>IF(C57="2020-21",1,0)</f>
        <v>0</v>
      </c>
      <c r="F57" s="8">
        <v>58336</v>
      </c>
      <c r="G57" s="6">
        <f>IF(COUNTIF($B$3:$B$62,B57)=3,1,0)</f>
        <v>1</v>
      </c>
    </row>
    <row r="58" spans="2:7" x14ac:dyDescent="0.2">
      <c r="B58" s="6" t="s">
        <v>61</v>
      </c>
      <c r="C58" s="9" t="s">
        <v>9</v>
      </c>
      <c r="D58" s="6">
        <v>1.79</v>
      </c>
      <c r="E58" s="6">
        <f>IF(C58="2020-21",1,0)</f>
        <v>1</v>
      </c>
      <c r="F58" s="6">
        <v>632</v>
      </c>
      <c r="G58" s="6">
        <f>IF(COUNTIF($B$3:$B$62,B58)=3,1,0)</f>
        <v>1</v>
      </c>
    </row>
    <row r="59" spans="2:7" x14ac:dyDescent="0.2">
      <c r="B59" s="6" t="s">
        <v>61</v>
      </c>
      <c r="C59" s="9" t="s">
        <v>12</v>
      </c>
      <c r="D59" s="6">
        <v>1.53</v>
      </c>
      <c r="E59" s="6">
        <f>IF(C59="2020-21",1,0)</f>
        <v>0</v>
      </c>
      <c r="F59" s="8">
        <v>62567</v>
      </c>
      <c r="G59" s="6">
        <f>IF(COUNTIF($B$3:$B$62,B59)=3,1,0)</f>
        <v>1</v>
      </c>
    </row>
    <row r="60" spans="2:7" x14ac:dyDescent="0.2">
      <c r="B60" s="6" t="s">
        <v>62</v>
      </c>
      <c r="C60" s="7" t="s">
        <v>8</v>
      </c>
      <c r="D60" s="6">
        <v>1.79</v>
      </c>
      <c r="E60" s="6">
        <f>IF(C60="2020-21",1,0)</f>
        <v>0</v>
      </c>
      <c r="F60" s="8">
        <v>31030</v>
      </c>
      <c r="G60" s="6">
        <f>IF(COUNTIF($B$3:$B$62,B60)=3,1,0)</f>
        <v>1</v>
      </c>
    </row>
    <row r="61" spans="2:7" x14ac:dyDescent="0.2">
      <c r="B61" s="6" t="s">
        <v>62</v>
      </c>
      <c r="C61" s="9" t="s">
        <v>9</v>
      </c>
      <c r="D61" s="6">
        <v>1.32</v>
      </c>
      <c r="E61" s="6">
        <f>IF(C61="2020-21",1,0)</f>
        <v>1</v>
      </c>
      <c r="F61" s="6">
        <v>237</v>
      </c>
      <c r="G61" s="6">
        <f>IF(COUNTIF($B$3:$B$62,B61)=3,1,0)</f>
        <v>1</v>
      </c>
    </row>
    <row r="62" spans="2:7" x14ac:dyDescent="0.2">
      <c r="B62" s="6" t="s">
        <v>62</v>
      </c>
      <c r="C62" s="9" t="s">
        <v>12</v>
      </c>
      <c r="D62" s="6">
        <v>1.42</v>
      </c>
      <c r="E62" s="6">
        <f>IF(C62="2020-21",1,0)</f>
        <v>0</v>
      </c>
      <c r="F62" s="8">
        <v>31029</v>
      </c>
      <c r="G62" s="6">
        <f>IF(COUNTIF($B$3:$B$62,B62)=3,1,0)</f>
        <v>1</v>
      </c>
    </row>
  </sheetData>
  <autoFilter ref="B2:G2" xr:uid="{3332CD90-732E-B040-ABBA-9FDC9EF6F8CC}">
    <sortState xmlns:xlrd2="http://schemas.microsoft.com/office/spreadsheetml/2017/richdata2" ref="B3:G62">
      <sortCondition ref="B2:B62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F14F3-03A0-DC48-93DF-F624339ECF77}">
  <sheetPr codeName="Sheet7"/>
  <dimension ref="A1:I20"/>
  <sheetViews>
    <sheetView showGridLines="0" zoomScale="150" workbookViewId="0">
      <selection activeCell="B5" sqref="B5"/>
    </sheetView>
  </sheetViews>
  <sheetFormatPr baseColWidth="10" defaultRowHeight="16" x14ac:dyDescent="0.2"/>
  <cols>
    <col min="1" max="1" width="28.33203125" style="4" bestFit="1" customWidth="1"/>
    <col min="2" max="2" width="16.33203125" style="4" bestFit="1" customWidth="1"/>
    <col min="3" max="3" width="16.6640625" style="4" bestFit="1" customWidth="1"/>
    <col min="4" max="4" width="15.83203125" style="4" bestFit="1" customWidth="1"/>
    <col min="5" max="5" width="16.33203125" style="4" bestFit="1" customWidth="1"/>
    <col min="6" max="6" width="16.83203125" style="4" bestFit="1" customWidth="1"/>
    <col min="7" max="7" width="16.33203125" style="4" bestFit="1" customWidth="1"/>
    <col min="8" max="8" width="16.83203125" style="4" bestFit="1" customWidth="1"/>
    <col min="9" max="9" width="16.33203125" style="4" bestFit="1" customWidth="1"/>
    <col min="10" max="16384" width="10.83203125" style="4"/>
  </cols>
  <sheetData>
    <row r="1" spans="1:9" x14ac:dyDescent="0.2">
      <c r="A1" s="4" t="s">
        <v>63</v>
      </c>
    </row>
    <row r="2" spans="1:9" ht="17" thickBot="1" x14ac:dyDescent="0.25"/>
    <row r="3" spans="1:9" x14ac:dyDescent="0.2">
      <c r="A3" s="22" t="s">
        <v>64</v>
      </c>
      <c r="B3" s="22"/>
    </row>
    <row r="4" spans="1:9" x14ac:dyDescent="0.2">
      <c r="A4" s="4" t="s">
        <v>65</v>
      </c>
      <c r="B4" s="4">
        <v>0.64076941232938134</v>
      </c>
    </row>
    <row r="5" spans="1:9" x14ac:dyDescent="0.2">
      <c r="A5" s="4" t="s">
        <v>66</v>
      </c>
      <c r="B5" s="25">
        <v>0.41058543977694073</v>
      </c>
    </row>
    <row r="6" spans="1:9" x14ac:dyDescent="0.2">
      <c r="A6" s="4" t="s">
        <v>67</v>
      </c>
      <c r="B6" s="4">
        <v>0.37900965976499112</v>
      </c>
    </row>
    <row r="7" spans="1:9" x14ac:dyDescent="0.2">
      <c r="A7" s="4" t="s">
        <v>68</v>
      </c>
      <c r="B7" s="4">
        <v>0.42919726682926695</v>
      </c>
    </row>
    <row r="8" spans="1:9" ht="17" thickBot="1" x14ac:dyDescent="0.25">
      <c r="A8" s="23" t="s">
        <v>69</v>
      </c>
      <c r="B8" s="23">
        <v>60</v>
      </c>
    </row>
    <row r="10" spans="1:9" ht="17" thickBot="1" x14ac:dyDescent="0.25">
      <c r="A10" s="4" t="s">
        <v>70</v>
      </c>
    </row>
    <row r="11" spans="1:9" x14ac:dyDescent="0.2">
      <c r="A11" s="24"/>
      <c r="B11" s="24" t="s">
        <v>71</v>
      </c>
      <c r="C11" s="24" t="s">
        <v>72</v>
      </c>
      <c r="D11" s="24" t="s">
        <v>73</v>
      </c>
      <c r="E11" s="24" t="s">
        <v>74</v>
      </c>
      <c r="F11" s="24" t="s">
        <v>75</v>
      </c>
    </row>
    <row r="12" spans="1:9" x14ac:dyDescent="0.2">
      <c r="A12" s="4" t="s">
        <v>76</v>
      </c>
      <c r="B12" s="4">
        <v>3</v>
      </c>
      <c r="C12" s="4">
        <v>7.1859568775254115</v>
      </c>
      <c r="D12" s="4">
        <v>2.3953189591751372</v>
      </c>
      <c r="E12" s="4">
        <v>13.00317647328294</v>
      </c>
      <c r="F12" s="4">
        <v>1.4813272312755905E-6</v>
      </c>
    </row>
    <row r="13" spans="1:9" x14ac:dyDescent="0.2">
      <c r="A13" s="4" t="s">
        <v>77</v>
      </c>
      <c r="B13" s="4">
        <v>56</v>
      </c>
      <c r="C13" s="4">
        <v>10.315776455807926</v>
      </c>
      <c r="D13" s="4">
        <v>0.18421029385371296</v>
      </c>
    </row>
    <row r="14" spans="1:9" ht="17" thickBot="1" x14ac:dyDescent="0.25">
      <c r="A14" s="23" t="s">
        <v>78</v>
      </c>
      <c r="B14" s="23">
        <v>59</v>
      </c>
      <c r="C14" s="23">
        <v>17.501733333333338</v>
      </c>
      <c r="D14" s="23"/>
      <c r="E14" s="23"/>
      <c r="F14" s="23"/>
    </row>
    <row r="15" spans="1:9" ht="17" thickBot="1" x14ac:dyDescent="0.25"/>
    <row r="16" spans="1:9" x14ac:dyDescent="0.2">
      <c r="A16" s="24"/>
      <c r="B16" s="24" t="s">
        <v>79</v>
      </c>
      <c r="C16" s="24" t="s">
        <v>68</v>
      </c>
      <c r="D16" s="24" t="s">
        <v>80</v>
      </c>
      <c r="E16" s="24" t="s">
        <v>81</v>
      </c>
      <c r="F16" s="24" t="s">
        <v>82</v>
      </c>
      <c r="G16" s="24" t="s">
        <v>83</v>
      </c>
      <c r="H16" s="24" t="s">
        <v>84</v>
      </c>
      <c r="I16" s="24" t="s">
        <v>85</v>
      </c>
    </row>
    <row r="17" spans="1:9" x14ac:dyDescent="0.2">
      <c r="A17" s="4" t="s">
        <v>86</v>
      </c>
      <c r="B17" s="4">
        <v>0.71489746942710619</v>
      </c>
      <c r="C17" s="4">
        <v>0.16746185985187939</v>
      </c>
      <c r="D17" s="4">
        <v>4.2690166588346479</v>
      </c>
      <c r="E17" s="4">
        <v>7.6590131924369754E-5</v>
      </c>
      <c r="F17" s="4">
        <v>0.37943105291782558</v>
      </c>
      <c r="G17" s="4">
        <v>1.0503638859363869</v>
      </c>
      <c r="H17" s="4">
        <v>0.37943105291782558</v>
      </c>
      <c r="I17" s="4">
        <v>1.0503638859363869</v>
      </c>
    </row>
    <row r="18" spans="1:9" x14ac:dyDescent="0.2">
      <c r="A18" s="4" t="s">
        <v>3</v>
      </c>
      <c r="B18" s="4">
        <v>0.49788776518028904</v>
      </c>
      <c r="C18" s="4">
        <v>0.20520427267000899</v>
      </c>
      <c r="D18" s="4">
        <v>2.4263031110514315</v>
      </c>
      <c r="E18" s="4">
        <v>1.8498776660939503E-2</v>
      </c>
      <c r="F18" s="4">
        <v>8.6814210486165361E-2</v>
      </c>
      <c r="G18" s="4">
        <v>0.90896131987441275</v>
      </c>
      <c r="H18" s="4">
        <v>8.6814210486165361E-2</v>
      </c>
      <c r="I18" s="4">
        <v>0.90896131987441275</v>
      </c>
    </row>
    <row r="19" spans="1:9" x14ac:dyDescent="0.2">
      <c r="A19" s="4" t="s">
        <v>4</v>
      </c>
      <c r="B19" s="4">
        <v>1.9721427225195772E-5</v>
      </c>
      <c r="C19" s="4">
        <v>4.4340075469317628E-6</v>
      </c>
      <c r="D19" s="4">
        <v>4.4477658227809229</v>
      </c>
      <c r="E19" s="4">
        <v>4.1660444734551145E-5</v>
      </c>
      <c r="F19" s="4">
        <v>1.0839042759503296E-5</v>
      </c>
      <c r="G19" s="4">
        <v>2.860381169088825E-5</v>
      </c>
      <c r="H19" s="4">
        <v>1.0839042759503296E-5</v>
      </c>
      <c r="I19" s="4">
        <v>2.860381169088825E-5</v>
      </c>
    </row>
    <row r="20" spans="1:9" ht="17" thickBot="1" x14ac:dyDescent="0.25">
      <c r="A20" s="23" t="s">
        <v>5</v>
      </c>
      <c r="B20" s="23">
        <v>0.19228925706171901</v>
      </c>
      <c r="C20" s="23">
        <v>0.13541721840801421</v>
      </c>
      <c r="D20" s="23">
        <v>1.4199764204456515</v>
      </c>
      <c r="E20" s="23">
        <v>0.16115796399488125</v>
      </c>
      <c r="F20" s="23">
        <v>-7.8984028886330757E-2</v>
      </c>
      <c r="G20" s="23">
        <v>0.46356254300976879</v>
      </c>
      <c r="H20" s="23">
        <v>-7.8984028886330757E-2</v>
      </c>
      <c r="I20" s="23">
        <v>0.46356254300976879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Analysis 2 (CP7)</vt:lpstr>
      <vt:lpstr>CP7 Regression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Fajardo, Jennifer</dc:creator>
  <cp:lastModifiedBy>Fajardo, Jennifer</cp:lastModifiedBy>
  <dcterms:created xsi:type="dcterms:W3CDTF">2025-12-20T02:33:53Z</dcterms:created>
  <dcterms:modified xsi:type="dcterms:W3CDTF">2025-12-20T02:34:33Z</dcterms:modified>
</cp:coreProperties>
</file>