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hidePivotFieldList="1" defaultThemeVersion="202300"/>
  <mc:AlternateContent xmlns:mc="http://schemas.openxmlformats.org/markup-compatibility/2006">
    <mc:Choice Requires="x15">
      <x15ac:absPath xmlns:x15ac="http://schemas.microsoft.com/office/spreadsheetml/2010/11/ac" url="/Users/jenniferfajardo/Desktop/MBA/DATA/Data/"/>
    </mc:Choice>
  </mc:AlternateContent>
  <xr:revisionPtr revIDLastSave="0" documentId="13_ncr:1_{EF519247-739B-7F43-AF4F-F478FE767D18}" xr6:coauthVersionLast="47" xr6:coauthVersionMax="47" xr10:uidLastSave="{00000000-0000-0000-0000-000000000000}"/>
  <bookViews>
    <workbookView xWindow="0" yWindow="0" windowWidth="28800" windowHeight="18000" xr2:uid="{753F4A86-EA0E-8440-9EA2-C74E31BAE534}"/>
  </bookViews>
  <sheets>
    <sheet name="Raw Data" sheetId="1" r:id="rId1"/>
    <sheet name="Clean Data" sheetId="9" r:id="rId2"/>
    <sheet name="Data Dictionary" sheetId="3" r:id="rId3"/>
    <sheet name="EDA" sheetId="17" r:id="rId4"/>
    <sheet name="CP6 Analysis" sheetId="12" r:id="rId5"/>
    <sheet name="CP7 Analysis" sheetId="18" r:id="rId6"/>
    <sheet name="CP7 Regression" sheetId="15" r:id="rId7"/>
    <sheet name="PG Regression" sheetId="19" r:id="rId8"/>
    <sheet name="CP8 Figure" sheetId="16" r:id="rId9"/>
  </sheets>
  <externalReferences>
    <externalReference r:id="rId10"/>
  </externalReferences>
  <definedNames>
    <definedName name="_xlnm._FilterDatabase" localSheetId="5" hidden="1">'CP7 Analysis'!$B$2:$H$2</definedName>
    <definedName name="_xlnm._FilterDatabase" localSheetId="3" hidden="1">EDA!#REF!</definedName>
    <definedName name="_xlchart.v1.0" hidden="1">EDA!$F$5</definedName>
    <definedName name="_xlchart.v1.1" hidden="1">EDA!$F$6:$F$19</definedName>
    <definedName name="_xlchart.v1.10" hidden="1">EDA!$D$5</definedName>
    <definedName name="_xlchart.v1.11" hidden="1">EDA!$D$6:$D$19</definedName>
    <definedName name="_xlchart.v1.12" hidden="1">EDA!$J$5</definedName>
    <definedName name="_xlchart.v1.13" hidden="1">EDA!$J$6:$J$19</definedName>
    <definedName name="_xlchart.v1.14" hidden="1">EDA!$K$5</definedName>
    <definedName name="_xlchart.v1.15" hidden="1">EDA!$K$6:$K$19</definedName>
    <definedName name="_xlchart.v1.16" hidden="1">EDA!$L$5</definedName>
    <definedName name="_xlchart.v1.17" hidden="1">EDA!$L$6:$L$19</definedName>
    <definedName name="_xlchart.v1.2" hidden="1">EDA!$G$5</definedName>
    <definedName name="_xlchart.v1.3" hidden="1">EDA!$G$6:$G$19</definedName>
    <definedName name="_xlchart.v1.4" hidden="1">EDA!$H$5</definedName>
    <definedName name="_xlchart.v1.5" hidden="1">EDA!$H$6:$H$19</definedName>
    <definedName name="_xlchart.v1.6" hidden="1">EDA!$B$5</definedName>
    <definedName name="_xlchart.v1.7" hidden="1">EDA!$B$6:$B$19</definedName>
    <definedName name="_xlchart.v1.8" hidden="1">EDA!$C$5</definedName>
    <definedName name="_xlchart.v1.9" hidden="1">EDA!$C$6:$C$19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8" l="1"/>
  <c r="F62" i="18"/>
  <c r="H42" i="18"/>
  <c r="F42" i="18"/>
  <c r="H22" i="18"/>
  <c r="F22" i="18"/>
  <c r="H61" i="18"/>
  <c r="F61" i="18"/>
  <c r="H41" i="18"/>
  <c r="F41" i="18"/>
  <c r="H21" i="18"/>
  <c r="F21" i="18"/>
  <c r="H40" i="18"/>
  <c r="F40" i="18"/>
  <c r="H20" i="18"/>
  <c r="F20" i="18"/>
  <c r="H60" i="18"/>
  <c r="F60" i="18"/>
  <c r="H39" i="18"/>
  <c r="F39" i="18"/>
  <c r="H19" i="18"/>
  <c r="F19" i="18"/>
  <c r="H38" i="18"/>
  <c r="F38" i="18"/>
  <c r="H18" i="18"/>
  <c r="F18" i="18"/>
  <c r="H59" i="18"/>
  <c r="F59" i="18"/>
  <c r="H37" i="18"/>
  <c r="F37" i="18"/>
  <c r="H58" i="18"/>
  <c r="F58" i="18"/>
  <c r="H57" i="18"/>
  <c r="F57" i="18"/>
  <c r="H36" i="18"/>
  <c r="F36" i="18"/>
  <c r="H17" i="18"/>
  <c r="F17" i="18"/>
  <c r="H56" i="18"/>
  <c r="F56" i="18"/>
  <c r="H35" i="18"/>
  <c r="F35" i="18"/>
  <c r="H16" i="18"/>
  <c r="F16" i="18"/>
  <c r="H55" i="18"/>
  <c r="F55" i="18"/>
  <c r="H34" i="18"/>
  <c r="F34" i="18"/>
  <c r="H15" i="18"/>
  <c r="F15" i="18"/>
  <c r="H54" i="18"/>
  <c r="F54" i="18"/>
  <c r="H53" i="18"/>
  <c r="F53" i="18"/>
  <c r="H33" i="18"/>
  <c r="F33" i="18"/>
  <c r="H14" i="18"/>
  <c r="F14" i="18"/>
  <c r="H32" i="18"/>
  <c r="F32" i="18"/>
  <c r="H13" i="18"/>
  <c r="F13" i="18"/>
  <c r="H31" i="18"/>
  <c r="F31" i="18"/>
  <c r="H12" i="18"/>
  <c r="F12" i="18"/>
  <c r="H52" i="18"/>
  <c r="F52" i="18"/>
  <c r="H30" i="18"/>
  <c r="F30" i="18"/>
  <c r="H11" i="18"/>
  <c r="F11" i="18"/>
  <c r="H51" i="18"/>
  <c r="F51" i="18"/>
  <c r="H29" i="18"/>
  <c r="F29" i="18"/>
  <c r="H10" i="18"/>
  <c r="F10" i="18"/>
  <c r="H50" i="18"/>
  <c r="F50" i="18"/>
  <c r="H28" i="18"/>
  <c r="F28" i="18"/>
  <c r="H9" i="18"/>
  <c r="F9" i="18"/>
  <c r="H49" i="18"/>
  <c r="F49" i="18"/>
  <c r="H27" i="18"/>
  <c r="F27" i="18"/>
  <c r="H8" i="18"/>
  <c r="F8" i="18"/>
  <c r="H7" i="18"/>
  <c r="F7" i="18"/>
  <c r="H48" i="18"/>
  <c r="F48" i="18"/>
  <c r="H26" i="18"/>
  <c r="F26" i="18"/>
  <c r="H6" i="18"/>
  <c r="F6" i="18"/>
  <c r="H47" i="18"/>
  <c r="F47" i="18"/>
  <c r="H25" i="18"/>
  <c r="F25" i="18"/>
  <c r="H5" i="18"/>
  <c r="F5" i="18"/>
  <c r="H46" i="18"/>
  <c r="F46" i="18"/>
  <c r="H45" i="18"/>
  <c r="F45" i="18"/>
  <c r="H4" i="18"/>
  <c r="F4" i="18"/>
  <c r="H44" i="18"/>
  <c r="F44" i="18"/>
  <c r="H24" i="18"/>
  <c r="F24" i="18"/>
  <c r="H43" i="18"/>
  <c r="F43" i="18"/>
  <c r="H23" i="18"/>
  <c r="F23" i="18"/>
  <c r="H3" i="18"/>
  <c r="F3" i="18"/>
  <c r="C7" i="12"/>
  <c r="D7" i="12" s="1"/>
  <c r="C6" i="12"/>
  <c r="D6" i="12" s="1"/>
  <c r="C5" i="12"/>
  <c r="D5" i="12" s="1"/>
  <c r="O44" i="17"/>
  <c r="N44" i="17"/>
  <c r="O43" i="17"/>
  <c r="N43" i="17"/>
  <c r="O42" i="17"/>
  <c r="N42" i="17"/>
  <c r="Z19" i="9" l="1"/>
  <c r="V19" i="9"/>
  <c r="Z18" i="9"/>
  <c r="V18" i="9"/>
  <c r="Z17" i="9"/>
  <c r="V17" i="9"/>
  <c r="Z16" i="9"/>
  <c r="V16" i="9"/>
  <c r="Z15" i="9"/>
  <c r="V15" i="9"/>
  <c r="Z14" i="9"/>
  <c r="V14" i="9"/>
  <c r="Z13" i="9"/>
  <c r="V13" i="9"/>
  <c r="Z12" i="9"/>
  <c r="V12" i="9"/>
  <c r="Z11" i="9"/>
  <c r="V11" i="9"/>
  <c r="Z10" i="9"/>
  <c r="V10" i="9"/>
  <c r="Z9" i="9"/>
  <c r="V9" i="9"/>
  <c r="Z8" i="9"/>
  <c r="V8" i="9"/>
  <c r="Z7" i="9"/>
  <c r="V7" i="9"/>
  <c r="Z6" i="9"/>
  <c r="V6" i="9"/>
  <c r="R19" i="9"/>
  <c r="N19" i="9"/>
  <c r="R18" i="9"/>
  <c r="N18" i="9"/>
  <c r="R17" i="9"/>
  <c r="N17" i="9"/>
  <c r="R16" i="9"/>
  <c r="N16" i="9"/>
  <c r="R15" i="9"/>
  <c r="N15" i="9"/>
  <c r="R14" i="9"/>
  <c r="N14" i="9"/>
  <c r="R13" i="9"/>
  <c r="N13" i="9"/>
  <c r="R12" i="9"/>
  <c r="N12" i="9"/>
  <c r="R11" i="9"/>
  <c r="N11" i="9"/>
  <c r="R10" i="9"/>
  <c r="N10" i="9"/>
  <c r="R9" i="9"/>
  <c r="N9" i="9"/>
  <c r="R8" i="9"/>
  <c r="N8" i="9"/>
  <c r="R7" i="9"/>
  <c r="N7" i="9"/>
  <c r="R6" i="9"/>
  <c r="N6" i="9"/>
  <c r="J19" i="9"/>
  <c r="F19" i="9"/>
  <c r="J18" i="9"/>
  <c r="F18" i="9"/>
  <c r="J17" i="9"/>
  <c r="F17" i="9"/>
  <c r="J16" i="9"/>
  <c r="F16" i="9"/>
  <c r="J15" i="9"/>
  <c r="F15" i="9"/>
  <c r="J14" i="9"/>
  <c r="F14" i="9"/>
  <c r="J13" i="9"/>
  <c r="F13" i="9"/>
  <c r="J12" i="9"/>
  <c r="F12" i="9"/>
  <c r="J11" i="9"/>
  <c r="F11" i="9"/>
  <c r="J10" i="9"/>
  <c r="F10" i="9"/>
  <c r="J9" i="9"/>
  <c r="F9" i="9"/>
  <c r="J8" i="9"/>
  <c r="F8" i="9"/>
  <c r="J7" i="9"/>
  <c r="F7" i="9"/>
  <c r="J6" i="9"/>
  <c r="F6" i="9"/>
  <c r="K88" i="9"/>
  <c r="G88" i="9"/>
  <c r="K87" i="9"/>
  <c r="G87" i="9"/>
  <c r="K86" i="9"/>
  <c r="G86" i="9"/>
  <c r="K85" i="9"/>
  <c r="G85" i="9"/>
  <c r="K84" i="9"/>
  <c r="G84" i="9"/>
  <c r="K83" i="9"/>
  <c r="G83" i="9"/>
  <c r="K82" i="9"/>
  <c r="G82" i="9"/>
  <c r="K81" i="9"/>
  <c r="G81" i="9"/>
  <c r="K80" i="9"/>
  <c r="G80" i="9"/>
  <c r="K79" i="9"/>
  <c r="G79" i="9"/>
  <c r="K78" i="9"/>
  <c r="G78" i="9"/>
  <c r="K77" i="9"/>
  <c r="G77" i="9"/>
  <c r="K76" i="9"/>
  <c r="G76" i="9"/>
  <c r="K75" i="9"/>
  <c r="G75" i="9"/>
  <c r="K74" i="9"/>
  <c r="G74" i="9"/>
  <c r="K73" i="9"/>
  <c r="G73" i="9"/>
  <c r="K72" i="9"/>
  <c r="G72" i="9"/>
  <c r="K71" i="9"/>
  <c r="G71" i="9"/>
  <c r="K70" i="9"/>
  <c r="G70" i="9"/>
  <c r="K69" i="9"/>
  <c r="G69" i="9"/>
  <c r="K66" i="9"/>
  <c r="G66" i="9"/>
  <c r="K65" i="9"/>
  <c r="G65" i="9"/>
  <c r="K64" i="9"/>
  <c r="G64" i="9"/>
  <c r="K63" i="9"/>
  <c r="G63" i="9"/>
  <c r="K62" i="9"/>
  <c r="G62" i="9"/>
  <c r="K61" i="9"/>
  <c r="G61" i="9"/>
  <c r="K60" i="9"/>
  <c r="G60" i="9"/>
  <c r="K59" i="9"/>
  <c r="G59" i="9"/>
  <c r="K58" i="9"/>
  <c r="G58" i="9"/>
  <c r="K57" i="9"/>
  <c r="G57" i="9"/>
  <c r="K56" i="9"/>
  <c r="G56" i="9"/>
  <c r="K55" i="9"/>
  <c r="G55" i="9"/>
  <c r="K54" i="9"/>
  <c r="G54" i="9"/>
  <c r="K53" i="9"/>
  <c r="G53" i="9"/>
  <c r="K52" i="9"/>
  <c r="G52" i="9"/>
  <c r="K51" i="9"/>
  <c r="G51" i="9"/>
  <c r="K50" i="9"/>
  <c r="G50" i="9"/>
  <c r="K49" i="9"/>
  <c r="G49" i="9"/>
  <c r="K48" i="9"/>
  <c r="G48" i="9"/>
  <c r="K47" i="9"/>
  <c r="G47" i="9"/>
  <c r="K44" i="9"/>
  <c r="G44" i="9"/>
  <c r="K43" i="9"/>
  <c r="G43" i="9"/>
  <c r="K42" i="9"/>
  <c r="G42" i="9"/>
  <c r="K41" i="9"/>
  <c r="G41" i="9"/>
  <c r="K40" i="9"/>
  <c r="G40" i="9"/>
  <c r="K39" i="9"/>
  <c r="G39" i="9"/>
  <c r="K38" i="9"/>
  <c r="G38" i="9"/>
  <c r="K37" i="9"/>
  <c r="G37" i="9"/>
  <c r="K36" i="9"/>
  <c r="G36" i="9"/>
  <c r="K35" i="9"/>
  <c r="G35" i="9"/>
  <c r="K34" i="9"/>
  <c r="G34" i="9"/>
  <c r="K33" i="9"/>
  <c r="G33" i="9"/>
  <c r="K32" i="9"/>
  <c r="G32" i="9"/>
  <c r="K31" i="9"/>
  <c r="G31" i="9"/>
  <c r="K30" i="9"/>
  <c r="G30" i="9"/>
  <c r="K29" i="9"/>
  <c r="G29" i="9"/>
  <c r="K28" i="9"/>
  <c r="G28" i="9"/>
  <c r="K27" i="9"/>
  <c r="G27" i="9"/>
  <c r="K26" i="9"/>
  <c r="G26" i="9"/>
  <c r="K25" i="9"/>
  <c r="G25" i="9"/>
</calcChain>
</file>

<file path=xl/sharedStrings.xml><?xml version="1.0" encoding="utf-8"?>
<sst xmlns="http://schemas.openxmlformats.org/spreadsheetml/2006/main" count="622" uniqueCount="163">
  <si>
    <t> Manchester City</t>
  </si>
  <si>
    <t> Liverpool</t>
  </si>
  <si>
    <t> Chelsea</t>
  </si>
  <si>
    <t> Tottenham</t>
  </si>
  <si>
    <t> Arsenal</t>
  </si>
  <si>
    <t> Manchester Utd</t>
  </si>
  <si>
    <t> Wolves</t>
  </si>
  <si>
    <t> Everton</t>
  </si>
  <si>
    <t> Leicester City</t>
  </si>
  <si>
    <t> West Ham</t>
  </si>
  <si>
    <t> Watford</t>
  </si>
  <si>
    <t> Crystal Palace</t>
  </si>
  <si>
    <t> Newcastle Utd</t>
  </si>
  <si>
    <t> Bournemouth</t>
  </si>
  <si>
    <t> Burnley</t>
  </si>
  <si>
    <t> Southampton</t>
  </si>
  <si>
    <t> Brighton</t>
  </si>
  <si>
    <t> Cardiff City</t>
  </si>
  <si>
    <t> Fulham</t>
  </si>
  <si>
    <t> Huddersfield</t>
  </si>
  <si>
    <t>Rk</t>
  </si>
  <si>
    <t>Squad</t>
  </si>
  <si>
    <t>MP</t>
  </si>
  <si>
    <t>W</t>
  </si>
  <si>
    <t>D</t>
  </si>
  <si>
    <t>L</t>
  </si>
  <si>
    <t>GF</t>
  </si>
  <si>
    <t>GA</t>
  </si>
  <si>
    <t>GD</t>
  </si>
  <si>
    <t>Pts</t>
  </si>
  <si>
    <t>Pts/MP</t>
  </si>
  <si>
    <t>xG</t>
  </si>
  <si>
    <t>xGA</t>
  </si>
  <si>
    <t>xGD</t>
  </si>
  <si>
    <t>xGD/90</t>
  </si>
  <si>
    <t>Home</t>
  </si>
  <si>
    <t>Away</t>
  </si>
  <si>
    <t>Attendance</t>
  </si>
  <si>
    <t>2018-19</t>
  </si>
  <si>
    <t>▲</t>
  </si>
  <si>
    <t> Aston Villa</t>
  </si>
  <si>
    <t> Sheffield Utd</t>
  </si>
  <si>
    <t>2020-21</t>
  </si>
  <si>
    <t> Leeds United</t>
  </si>
  <si>
    <t> West Brom</t>
  </si>
  <si>
    <t> Brentford</t>
  </si>
  <si>
    <t>2023-24</t>
  </si>
  <si>
    <t> Luton Town</t>
  </si>
  <si>
    <t> Nott'ham Forest</t>
  </si>
  <si>
    <t>Home GD</t>
  </si>
  <si>
    <t>Away GD</t>
  </si>
  <si>
    <t>WP</t>
  </si>
  <si>
    <t>PG</t>
  </si>
  <si>
    <t>*teams that played in all 3 seasons (14/20)</t>
  </si>
  <si>
    <t>*all 20 teams per season</t>
  </si>
  <si>
    <t>DATA DICTIONARY</t>
  </si>
  <si>
    <t>Attendance/Game: home attendance per game during that season</t>
  </si>
  <si>
    <t>team name</t>
  </si>
  <si>
    <t>Features</t>
  </si>
  <si>
    <t>Description</t>
  </si>
  <si>
    <t>Range</t>
  </si>
  <si>
    <t>Win Percentage: how often the team won at home that season (home wins ÷ total home games)</t>
  </si>
  <si>
    <t>Matches Played: total home games played by the team that season</t>
  </si>
  <si>
    <t>Wins: total home wins by the team that season</t>
  </si>
  <si>
    <t>Points/Match: home points earned per home games played that season (3 for win, 1 for draw, 0 for loss)</t>
  </si>
  <si>
    <t>(.47, 2.84)</t>
  </si>
  <si>
    <t>(5.26%, 94.74%)</t>
  </si>
  <si>
    <t>(2, 18)</t>
  </si>
  <si>
    <t>(91, 76104)</t>
  </si>
  <si>
    <t>Home Goal Difference: goals a team scores at home vs. concedes (home goals for - home goals against)</t>
  </si>
  <si>
    <t>Away Goal Difference: goals a team scores away vs. concedes (away goals for - away goals against)</t>
  </si>
  <si>
    <t>(-38, 45)</t>
  </si>
  <si>
    <t>(-33, 30)</t>
  </si>
  <si>
    <t>(-11, 31)</t>
  </si>
  <si>
    <t>Performance Gap: how much better teams play at home vs away (home goal differential - away goal differential)</t>
  </si>
  <si>
    <t>Home Win Percentage</t>
  </si>
  <si>
    <t>Average Home GD</t>
  </si>
  <si>
    <t>Average Away GD</t>
  </si>
  <si>
    <t>Average Attendance</t>
  </si>
  <si>
    <t>Average Home Pts/MP</t>
  </si>
  <si>
    <t>All Premier League team names</t>
  </si>
  <si>
    <t>*14/20 teams</t>
  </si>
  <si>
    <t>Period</t>
  </si>
  <si>
    <t>Component</t>
  </si>
  <si>
    <t>Specification</t>
  </si>
  <si>
    <t>Research Question</t>
  </si>
  <si>
    <t>Sample</t>
  </si>
  <si>
    <t>14 Premier League teams that played all three seasons</t>
  </si>
  <si>
    <t>Outcome</t>
  </si>
  <si>
    <t>Method</t>
  </si>
  <si>
    <t>Analysis Spec</t>
  </si>
  <si>
    <t>Home Points Per Match (Pts/MP)</t>
  </si>
  <si>
    <t xml:space="preserve"> </t>
  </si>
  <si>
    <t>Change vs 2018-19</t>
  </si>
  <si>
    <t>Outcome (DV)</t>
  </si>
  <si>
    <t>Predictor / Groups (IV)</t>
  </si>
  <si>
    <t>Row Definition</t>
  </si>
  <si>
    <t>Did home field advantage decline during COVID and rebound post COVID?</t>
  </si>
  <si>
    <t>Average Home Points Per Match (Pts/MP)</t>
  </si>
  <si>
    <t>Season group: Pre COVID (2018-19), COVID (2020-21), Post COVID (2023-24)</t>
  </si>
  <si>
    <t>one team's home/away results for each season</t>
  </si>
  <si>
    <t>Season</t>
  </si>
  <si>
    <t>Home Pts/MP</t>
  </si>
  <si>
    <t>Average Home Attendance</t>
  </si>
  <si>
    <t>COVID Season</t>
  </si>
  <si>
    <t>Stable Team</t>
  </si>
  <si>
    <t>Inputs</t>
  </si>
  <si>
    <t>All 20 Premier League teams</t>
  </si>
  <si>
    <t>Rule</t>
  </si>
  <si>
    <t>Estimate the relationship between attendance and home points per match while controlling for season effects</t>
  </si>
  <si>
    <t>Expected Direction</t>
  </si>
  <si>
    <t>Higher attendance associated with higher home performance</t>
  </si>
  <si>
    <t>Average Home Attendance, COVID Season Indicator, Stable Team Indicator</t>
  </si>
  <si>
    <t>One team observed in a given season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</si>
  <si>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</si>
  <si>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</si>
  <si>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</si>
  <si>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</si>
  <si>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</si>
  <si>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</si>
  <si>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</si>
  <si>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</si>
  <si>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</si>
  <si>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</si>
  <si>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</si>
  <si>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</si>
  <si>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</si>
  <si>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</si>
  <si>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</si>
  <si>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</si>
  <si>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</si>
  <si>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</si>
  <si>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</si>
  <si>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</si>
  <si>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</si>
  <si>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</si>
  <si>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</si>
  <si>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</si>
  <si>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CP6</t>
  </si>
  <si>
    <t>CP7</t>
  </si>
  <si>
    <t>All 20 teams</t>
  </si>
  <si>
    <t>Question</t>
  </si>
  <si>
    <t>Regression with average attendance and controls</t>
  </si>
  <si>
    <t>What happened on average?</t>
  </si>
  <si>
    <t>14 consistent teams</t>
  </si>
  <si>
    <t>Reduced attendance explains much of the COVID season decline</t>
  </si>
  <si>
    <t>Home Pts/MP group mean comparison</t>
  </si>
  <si>
    <t>Home Pts/MP fell by 0.39 during COVID</t>
  </si>
  <si>
    <t>Why did it happen &amp; for which teams?</t>
  </si>
  <si>
    <t>Figure 16</t>
  </si>
  <si>
    <t>Figure 18</t>
  </si>
  <si>
    <t>Figure 6</t>
  </si>
  <si>
    <t>Figure 8</t>
  </si>
  <si>
    <t>Figure 10</t>
  </si>
  <si>
    <t>Figure 12</t>
  </si>
  <si>
    <t>Figure 14</t>
  </si>
  <si>
    <t>Figure 20</t>
  </si>
  <si>
    <t>Figure 19</t>
  </si>
  <si>
    <t>Figure 21</t>
  </si>
  <si>
    <t>Figure 22</t>
  </si>
  <si>
    <t>Figure 23</t>
  </si>
  <si>
    <t>Figure 24</t>
  </si>
  <si>
    <t>When performance gap is used instead of points, the attendance effect remains positive but is weaker and not statistically significant. This suggests that attendance influences match outcomes more consistently than goal margins, which are inherently noisier.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</si>
</sst>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x14ac:knownFonts="1">
    <font>
      <sz val="12"/>
      <color theme="1"/>
      <name val="Aptos Narrow"/>
      <family val="2"/>
      <scheme val="minor"/>
    </font>
    <font>
      <sz val="12"/>
      <color theme="1"/>
      <name val="Aptos Narrow"/>
      <family val="2"/>
      <scheme val="minor"/>
    </font>
    <font>
      <u/>
      <sz val="12"/>
      <color theme="10"/>
      <name val="Aptos Narrow"/>
      <family val="2"/>
      <scheme val="minor"/>
    </font>
    <font>
      <sz val="9.5"/>
      <color theme="1"/>
      <name val="Verdana"/>
      <family val="2"/>
    </font>
    <font>
      <b/>
      <sz val="9.5"/>
      <color rgb="FF990000"/>
      <name val="Verdana"/>
      <family val="2"/>
    </font>
    <font>
      <u/>
      <sz val="9.5"/>
      <color theme="10"/>
      <name val="Verdana"/>
      <family val="2"/>
    </font>
    <font>
      <sz val="9.5"/>
      <name val="Verdana"/>
      <family val="2"/>
    </font>
    <font>
      <sz val="12"/>
      <name val="Verdana"/>
      <family val="2"/>
    </font>
    <font>
      <b/>
      <sz val="12"/>
      <name val="Verdana"/>
      <family val="2"/>
    </font>
    <font>
      <i/>
      <sz val="12"/>
      <name val="Verdana"/>
      <family val="2"/>
    </font>
    <font>
      <b/>
      <u/>
      <sz val="12"/>
      <color theme="1"/>
      <name val="Verdana"/>
      <family val="2"/>
    </font>
    <font>
      <sz val="12"/>
      <color theme="1"/>
      <name val="Verdana"/>
      <family val="2"/>
    </font>
    <font>
      <b/>
      <sz val="12"/>
      <color theme="1"/>
      <name val="Verdana"/>
      <family val="2"/>
    </font>
    <font>
      <sz val="8"/>
      <name val="Aptos Narrow"/>
      <family val="2"/>
      <scheme val="minor"/>
    </font>
    <font>
      <i/>
      <sz val="12"/>
      <color theme="1"/>
      <name val="Verdana"/>
      <family val="2"/>
    </font>
    <font>
      <b/>
      <sz val="8"/>
      <name val="Verdana"/>
      <family val="2"/>
    </font>
    <font>
      <b/>
      <sz val="8"/>
      <color theme="1"/>
      <name val="Verdana"/>
      <family val="2"/>
    </font>
  </fonts>
  <fills count="9">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2"/>
        <bgColor rgb="FF000000"/>
      </patternFill>
    </fill>
    <fill>
      <patternFill patternType="solid">
        <fgColor theme="2"/>
        <bgColor indexed="64"/>
      </patternFill>
    </fill>
    <fill>
      <patternFill patternType="solid">
        <fgColor rgb="FFFFFDE2"/>
        <bgColor indexed="64"/>
      </patternFill>
    </fill>
    <fill>
      <patternFill patternType="solid">
        <fgColor rgb="FFFFFF00"/>
        <bgColor indexed="64"/>
      </patternFill>
    </fill>
  </fills>
  <borders count="32">
    <border>
      <left/>
      <right/>
      <top/>
      <bottom/>
      <diagonal/>
    </border>
    <border>
      <left/>
      <right style="thin">
        <color theme="2"/>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
      <left/>
      <right/>
      <top style="thin">
        <color theme="2"/>
      </top>
      <bottom style="thin">
        <color theme="2"/>
      </bottom>
      <diagonal/>
    </border>
    <border>
      <left/>
      <right/>
      <top style="thin">
        <color theme="2"/>
      </top>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theme="2"/>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indexed="64"/>
      </bottom>
      <diagonal/>
    </border>
    <border>
      <left/>
      <right style="thin">
        <color indexed="64"/>
      </right>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indexed="64"/>
      </top>
      <bottom style="thin">
        <color theme="2"/>
      </bottom>
      <diagonal/>
    </border>
    <border>
      <left/>
      <right style="thin">
        <color indexed="64"/>
      </right>
      <top/>
      <bottom/>
      <diagonal/>
    </border>
    <border>
      <left/>
      <right/>
      <top/>
      <bottom style="medium">
        <color indexed="64"/>
      </bottom>
      <diagonal/>
    </border>
    <border>
      <left/>
      <right/>
      <top style="medium">
        <color indexed="64"/>
      </top>
      <bottom style="thin">
        <color indexed="64"/>
      </bottom>
      <diagonal/>
    </border>
    <border>
      <left style="thin">
        <color theme="2" tint="-9.9917600024414813E-2"/>
      </left>
      <right style="thin">
        <color theme="2" tint="-9.9917600024414813E-2"/>
      </right>
      <top/>
      <bottom style="thin">
        <color theme="2" tint="-9.9917600024414813E-2"/>
      </bottom>
      <diagonal/>
    </border>
    <border>
      <left style="thin">
        <color theme="2" tint="-9.9917600024414813E-2"/>
      </left>
      <right/>
      <top/>
      <bottom style="thin">
        <color theme="2" tint="-9.9917600024414813E-2"/>
      </bottom>
      <diagonal/>
    </border>
    <border>
      <left/>
      <right style="thin">
        <color theme="2" tint="-9.9917600024414813E-2"/>
      </right>
      <top style="thin">
        <color theme="2" tint="-9.9917600024414813E-2"/>
      </top>
      <bottom style="thin">
        <color theme="2" tint="-9.9917600024414813E-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17600024414813E-2"/>
      </left>
      <right/>
      <top style="thin">
        <color theme="2" tint="-9.9917600024414813E-2"/>
      </top>
      <bottom style="thin">
        <color theme="2" tint="-9.9917600024414813E-2"/>
      </bottom>
      <diagonal/>
    </border>
    <border>
      <left/>
      <right style="thin">
        <color theme="2" tint="-9.9917600024414813E-2"/>
      </right>
      <top style="thin">
        <color theme="2" tint="-9.9917600024414813E-2"/>
      </top>
      <bottom/>
      <diagonal/>
    </border>
    <border>
      <left style="thin">
        <color theme="2" tint="-9.9917600024414813E-2"/>
      </left>
      <right style="thin">
        <color theme="2" tint="-9.9917600024414813E-2"/>
      </right>
      <top style="thin">
        <color theme="2" tint="-9.9917600024414813E-2"/>
      </top>
      <bottom/>
      <diagonal/>
    </border>
    <border>
      <left style="thin">
        <color theme="2" tint="-9.9917600024414813E-2"/>
      </left>
      <right/>
      <top style="thin">
        <color theme="2" tint="-9.9917600024414813E-2"/>
      </top>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cellStyleXfs>
  <cellXfs count="174">
    <xf numFmtId="0" fontId="0" fillId="0" borderId="0" xfId="0"/>
    <xf numFmtId="0" fontId="3" fillId="0" borderId="0" xfId="0" applyFont="1"/>
    <xf numFmtId="0" fontId="4" fillId="0" borderId="0" xfId="0" applyFont="1"/>
    <xf numFmtId="0" fontId="5" fillId="0" borderId="0" xfId="2" applyFont="1" applyFill="1"/>
    <xf numFmtId="0" fontId="4" fillId="0" borderId="0" xfId="0" applyFont="1" applyAlignment="1">
      <alignment horizontal="center" vertical="center"/>
    </xf>
    <xf numFmtId="0" fontId="6" fillId="0" borderId="0" xfId="0" applyFont="1"/>
    <xf numFmtId="0" fontId="7" fillId="0" borderId="0" xfId="0" applyFont="1"/>
    <xf numFmtId="0" fontId="8" fillId="0" borderId="0" xfId="0" applyFont="1" applyAlignment="1">
      <alignment vertical="center"/>
    </xf>
    <xf numFmtId="3" fontId="6" fillId="0" borderId="0" xfId="0" applyNumberFormat="1" applyFont="1"/>
    <xf numFmtId="0" fontId="8" fillId="2" borderId="5" xfId="0" applyFont="1" applyFill="1" applyBorder="1" applyAlignment="1">
      <alignment horizontal="center" vertical="center"/>
    </xf>
    <xf numFmtId="3" fontId="7" fillId="0" borderId="5" xfId="0" applyNumberFormat="1" applyFont="1" applyBorder="1"/>
    <xf numFmtId="0" fontId="7" fillId="0" borderId="5" xfId="0" applyFont="1" applyBorder="1"/>
    <xf numFmtId="3" fontId="7" fillId="0" borderId="8" xfId="0" applyNumberFormat="1" applyFont="1" applyBorder="1"/>
    <xf numFmtId="0" fontId="7" fillId="0" borderId="8" xfId="0" applyFont="1" applyBorder="1"/>
    <xf numFmtId="3" fontId="7" fillId="0" borderId="0" xfId="0" applyNumberFormat="1" applyFont="1"/>
    <xf numFmtId="0" fontId="8" fillId="0" borderId="0" xfId="0" applyFont="1" applyAlignment="1">
      <alignment horizontal="center" vertical="center"/>
    </xf>
    <xf numFmtId="0" fontId="8" fillId="0" borderId="1" xfId="0" applyFont="1" applyBorder="1" applyAlignment="1">
      <alignment horizontal="center" vertical="center"/>
    </xf>
    <xf numFmtId="3" fontId="7" fillId="0" borderId="13" xfId="0" applyNumberFormat="1" applyFont="1" applyBorder="1"/>
    <xf numFmtId="0" fontId="7" fillId="0" borderId="12" xfId="0" applyFont="1" applyBorder="1"/>
    <xf numFmtId="3" fontId="7" fillId="0" borderId="14" xfId="0" applyNumberFormat="1" applyFont="1" applyBorder="1"/>
    <xf numFmtId="0" fontId="7" fillId="0" borderId="15" xfId="0" applyFont="1" applyBorder="1"/>
    <xf numFmtId="0" fontId="7" fillId="0" borderId="16" xfId="0" applyFont="1" applyBorder="1"/>
    <xf numFmtId="0" fontId="7" fillId="0" borderId="13" xfId="0" applyFont="1" applyBorder="1"/>
    <xf numFmtId="0" fontId="7" fillId="0" borderId="14" xfId="0" applyFont="1" applyBorder="1"/>
    <xf numFmtId="0" fontId="7" fillId="0" borderId="4" xfId="0" applyFont="1" applyBorder="1"/>
    <xf numFmtId="0" fontId="8" fillId="2" borderId="12" xfId="0" applyFont="1" applyFill="1" applyBorder="1" applyAlignment="1">
      <alignment horizontal="center" vertical="center"/>
    </xf>
    <xf numFmtId="10" fontId="7" fillId="0" borderId="5" xfId="1" applyNumberFormat="1" applyFont="1" applyFill="1" applyBorder="1"/>
    <xf numFmtId="0" fontId="8" fillId="4" borderId="13" xfId="0" applyFont="1" applyFill="1" applyBorder="1" applyAlignment="1">
      <alignment horizontal="center" vertical="center"/>
    </xf>
    <xf numFmtId="0" fontId="7" fillId="0" borderId="7" xfId="0" applyFont="1" applyBorder="1"/>
    <xf numFmtId="0" fontId="9" fillId="0" borderId="0" xfId="0" applyFont="1"/>
    <xf numFmtId="0" fontId="8" fillId="0" borderId="0" xfId="0" applyFont="1"/>
    <xf numFmtId="10" fontId="7" fillId="0" borderId="5" xfId="0" applyNumberFormat="1" applyFont="1" applyBorder="1"/>
    <xf numFmtId="10" fontId="7" fillId="0" borderId="0" xfId="0" applyNumberFormat="1" applyFont="1"/>
    <xf numFmtId="0" fontId="7" fillId="0" borderId="6" xfId="0" applyFont="1" applyBorder="1"/>
    <xf numFmtId="0" fontId="7" fillId="0" borderId="9" xfId="0" applyFont="1" applyBorder="1"/>
    <xf numFmtId="0" fontId="7" fillId="0" borderId="10" xfId="0" applyFont="1" applyBorder="1"/>
    <xf numFmtId="0" fontId="7" fillId="0" borderId="11" xfId="0" applyFont="1" applyBorder="1"/>
    <xf numFmtId="10" fontId="7" fillId="0" borderId="15" xfId="0" applyNumberFormat="1" applyFont="1" applyBorder="1"/>
    <xf numFmtId="0" fontId="8" fillId="0" borderId="2" xfId="0" applyFont="1" applyBorder="1" applyAlignment="1">
      <alignment horizontal="center" vertical="center"/>
    </xf>
    <xf numFmtId="0" fontId="8" fillId="0" borderId="3" xfId="0" applyFont="1" applyBorder="1" applyAlignment="1">
      <alignment horizontal="center" vertical="center"/>
    </xf>
    <xf numFmtId="10" fontId="7" fillId="0" borderId="8" xfId="1" applyNumberFormat="1" applyFont="1" applyFill="1" applyBorder="1"/>
    <xf numFmtId="3" fontId="7" fillId="0" borderId="13" xfId="0" applyNumberFormat="1" applyFont="1" applyBorder="1" applyAlignment="1">
      <alignment horizontal="right"/>
    </xf>
    <xf numFmtId="0" fontId="7" fillId="0" borderId="5" xfId="0" applyFont="1" applyBorder="1" applyAlignment="1">
      <alignment horizontal="right"/>
    </xf>
    <xf numFmtId="0" fontId="7" fillId="0" borderId="12" xfId="0" applyFont="1" applyBorder="1" applyAlignment="1">
      <alignment horizontal="right" vertical="center"/>
    </xf>
    <xf numFmtId="3" fontId="7" fillId="0" borderId="14" xfId="0" applyNumberFormat="1" applyFont="1" applyBorder="1" applyAlignment="1">
      <alignment horizontal="right"/>
    </xf>
    <xf numFmtId="0" fontId="7" fillId="0" borderId="15" xfId="0" applyFont="1" applyBorder="1" applyAlignment="1">
      <alignment horizontal="right"/>
    </xf>
    <xf numFmtId="0" fontId="7" fillId="0" borderId="16" xfId="0" applyFont="1" applyBorder="1" applyAlignment="1">
      <alignment horizontal="right" vertical="center"/>
    </xf>
    <xf numFmtId="0" fontId="7" fillId="0" borderId="5" xfId="0" applyFont="1" applyBorder="1" applyAlignment="1">
      <alignment horizontal="right" vertical="center"/>
    </xf>
    <xf numFmtId="10" fontId="7" fillId="0" borderId="5" xfId="0" applyNumberFormat="1" applyFont="1" applyBorder="1" applyAlignment="1">
      <alignment horizontal="right" vertical="center"/>
    </xf>
    <xf numFmtId="0" fontId="7" fillId="0" borderId="15" xfId="0" applyFont="1" applyBorder="1" applyAlignment="1">
      <alignment horizontal="right" vertical="center"/>
    </xf>
    <xf numFmtId="10" fontId="7" fillId="0" borderId="15" xfId="0" applyNumberFormat="1" applyFont="1" applyBorder="1" applyAlignment="1">
      <alignment horizontal="right" vertical="center"/>
    </xf>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3" fontId="11" fillId="0" borderId="6" xfId="0" quotePrefix="1" applyNumberFormat="1" applyFont="1" applyBorder="1" applyAlignment="1">
      <alignment horizontal="left" vertical="center" wrapText="1"/>
    </xf>
    <xf numFmtId="0" fontId="11" fillId="0" borderId="6" xfId="0" quotePrefix="1" applyFont="1" applyBorder="1" applyAlignment="1">
      <alignment horizontal="left" vertical="center" wrapText="1"/>
    </xf>
    <xf numFmtId="0" fontId="11" fillId="0" borderId="8" xfId="0" applyFont="1" applyBorder="1" applyAlignment="1">
      <alignment horizontal="left" vertical="center" wrapText="1"/>
    </xf>
    <xf numFmtId="0" fontId="11" fillId="0" borderId="9" xfId="0" quotePrefix="1" applyFont="1" applyBorder="1" applyAlignment="1">
      <alignment horizontal="left" vertical="center" wrapText="1"/>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0" xfId="0" applyFont="1" applyAlignment="1">
      <alignment horizontal="left" vertical="center" wrapText="1"/>
    </xf>
    <xf numFmtId="3" fontId="7" fillId="0" borderId="0" xfId="0" applyNumberFormat="1" applyFont="1" applyAlignment="1">
      <alignment horizontal="right"/>
    </xf>
    <xf numFmtId="0" fontId="11" fillId="0" borderId="0" xfId="0" applyFont="1"/>
    <xf numFmtId="0" fontId="11" fillId="0" borderId="4" xfId="0" applyFont="1" applyBorder="1"/>
    <xf numFmtId="0" fontId="11" fillId="0" borderId="6" xfId="0" applyFont="1" applyBorder="1"/>
    <xf numFmtId="0" fontId="11" fillId="0" borderId="7" xfId="0" applyFont="1" applyBorder="1"/>
    <xf numFmtId="0" fontId="11" fillId="0" borderId="9" xfId="0" applyFont="1" applyBorder="1"/>
    <xf numFmtId="0" fontId="11" fillId="0" borderId="5" xfId="0" applyFont="1" applyBorder="1"/>
    <xf numFmtId="0" fontId="11" fillId="0" borderId="8" xfId="0" applyFont="1" applyBorder="1"/>
    <xf numFmtId="3" fontId="11" fillId="0" borderId="4" xfId="0" applyNumberFormat="1" applyFont="1" applyBorder="1"/>
    <xf numFmtId="3" fontId="11" fillId="0" borderId="6" xfId="0" applyNumberFormat="1" applyFont="1" applyBorder="1"/>
    <xf numFmtId="3" fontId="11" fillId="0" borderId="7" xfId="0" applyNumberFormat="1" applyFont="1" applyBorder="1"/>
    <xf numFmtId="3" fontId="11" fillId="0" borderId="9" xfId="0" applyNumberFormat="1" applyFont="1" applyBorder="1"/>
    <xf numFmtId="0" fontId="11" fillId="0" borderId="1" xfId="0" applyFont="1" applyBorder="1"/>
    <xf numFmtId="10" fontId="11" fillId="0" borderId="4" xfId="0" applyNumberFormat="1" applyFont="1" applyBorder="1"/>
    <xf numFmtId="10" fontId="11" fillId="0" borderId="5" xfId="0" applyNumberFormat="1" applyFont="1" applyBorder="1"/>
    <xf numFmtId="10" fontId="11" fillId="0" borderId="6" xfId="0" applyNumberFormat="1" applyFont="1" applyBorder="1"/>
    <xf numFmtId="10" fontId="11" fillId="0" borderId="7" xfId="0" applyNumberFormat="1" applyFont="1" applyBorder="1"/>
    <xf numFmtId="10" fontId="11" fillId="0" borderId="8" xfId="0" applyNumberFormat="1" applyFont="1" applyBorder="1"/>
    <xf numFmtId="10" fontId="11" fillId="0" borderId="9" xfId="0" applyNumberFormat="1" applyFont="1" applyBorder="1"/>
    <xf numFmtId="2" fontId="11" fillId="0" borderId="6" xfId="0" applyNumberFormat="1" applyFont="1" applyBorder="1"/>
    <xf numFmtId="2" fontId="11" fillId="0" borderId="9" xfId="0" applyNumberFormat="1" applyFont="1" applyBorder="1"/>
    <xf numFmtId="1" fontId="11" fillId="0" borderId="0" xfId="0" applyNumberFormat="1" applyFont="1"/>
    <xf numFmtId="1" fontId="11" fillId="0" borderId="5" xfId="0" applyNumberFormat="1" applyFont="1" applyBorder="1"/>
    <xf numFmtId="1" fontId="11" fillId="0" borderId="6" xfId="0" applyNumberFormat="1" applyFont="1" applyBorder="1"/>
    <xf numFmtId="1" fontId="11" fillId="0" borderId="8" xfId="0" applyNumberFormat="1" applyFont="1" applyBorder="1"/>
    <xf numFmtId="1" fontId="11" fillId="0" borderId="9" xfId="0" applyNumberFormat="1" applyFont="1" applyBorder="1"/>
    <xf numFmtId="0" fontId="8" fillId="6"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7" fillId="0" borderId="0" xfId="0" applyFont="1" applyAlignment="1">
      <alignment horizontal="right" vertical="center"/>
    </xf>
    <xf numFmtId="0" fontId="11" fillId="7" borderId="3" xfId="0" applyFont="1" applyFill="1" applyBorder="1"/>
    <xf numFmtId="0" fontId="11" fillId="7" borderId="4" xfId="0" applyFont="1" applyFill="1" applyBorder="1"/>
    <xf numFmtId="0" fontId="11" fillId="7" borderId="4" xfId="1" applyNumberFormat="1" applyFont="1" applyFill="1" applyBorder="1"/>
    <xf numFmtId="0" fontId="11" fillId="7" borderId="7" xfId="0" applyFont="1" applyFill="1" applyBorder="1"/>
    <xf numFmtId="0" fontId="12" fillId="7" borderId="1"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3" xfId="0" applyFont="1" applyFill="1" applyBorder="1" applyAlignment="1">
      <alignment horizontal="center" vertical="center"/>
    </xf>
    <xf numFmtId="2" fontId="7" fillId="0" borderId="0" xfId="1" applyNumberFormat="1" applyFont="1" applyFill="1" applyBorder="1"/>
    <xf numFmtId="0" fontId="14" fillId="0" borderId="0" xfId="0" applyFont="1"/>
    <xf numFmtId="4" fontId="11" fillId="7" borderId="5" xfId="0" applyNumberFormat="1" applyFont="1" applyFill="1" applyBorder="1"/>
    <xf numFmtId="4" fontId="11" fillId="7" borderId="6" xfId="0" quotePrefix="1" applyNumberFormat="1" applyFont="1" applyFill="1" applyBorder="1" applyAlignment="1">
      <alignment horizontal="right"/>
    </xf>
    <xf numFmtId="4" fontId="11" fillId="7" borderId="8" xfId="0" applyNumberFormat="1" applyFont="1" applyFill="1" applyBorder="1"/>
    <xf numFmtId="0" fontId="12" fillId="0" borderId="0" xfId="0" applyFont="1" applyAlignment="1">
      <alignment vertical="center"/>
    </xf>
    <xf numFmtId="0" fontId="12" fillId="0" borderId="1" xfId="0" applyFont="1" applyBorder="1"/>
    <xf numFmtId="0" fontId="12" fillId="0" borderId="3" xfId="0" applyFont="1" applyBorder="1"/>
    <xf numFmtId="0" fontId="14" fillId="7" borderId="0" xfId="0" applyFont="1" applyFill="1"/>
    <xf numFmtId="4" fontId="11" fillId="7" borderId="9" xfId="0" quotePrefix="1" applyNumberFormat="1" applyFont="1" applyFill="1" applyBorder="1" applyAlignment="1">
      <alignment horizontal="right"/>
    </xf>
    <xf numFmtId="3" fontId="7" fillId="0" borderId="0" xfId="0" applyNumberFormat="1" applyFont="1" applyAlignment="1">
      <alignment vertical="center"/>
    </xf>
    <xf numFmtId="4" fontId="7" fillId="0" borderId="0" xfId="0" applyNumberFormat="1" applyFont="1"/>
    <xf numFmtId="4" fontId="7" fillId="0" borderId="0" xfId="0" applyNumberFormat="1" applyFont="1" applyAlignment="1">
      <alignment vertical="center"/>
    </xf>
    <xf numFmtId="164" fontId="7" fillId="0" borderId="0" xfId="3" applyNumberFormat="1" applyFont="1" applyFill="1" applyBorder="1" applyAlignment="1">
      <alignment vertical="center"/>
    </xf>
    <xf numFmtId="10" fontId="7" fillId="0" borderId="0" xfId="1" applyNumberFormat="1" applyFont="1" applyFill="1" applyBorder="1"/>
    <xf numFmtId="2" fontId="7" fillId="0" borderId="0" xfId="0" applyNumberFormat="1" applyFont="1"/>
    <xf numFmtId="2" fontId="7" fillId="0" borderId="0" xfId="0" applyNumberFormat="1" applyFont="1" applyAlignment="1">
      <alignment vertical="center"/>
    </xf>
    <xf numFmtId="164" fontId="7" fillId="0" borderId="0" xfId="3" applyNumberFormat="1" applyFont="1" applyFill="1" applyBorder="1"/>
    <xf numFmtId="0" fontId="14" fillId="0" borderId="23" xfId="0" applyFont="1" applyBorder="1" applyAlignment="1">
      <alignment horizontal="centerContinuous"/>
    </xf>
    <xf numFmtId="0" fontId="11" fillId="0" borderId="22" xfId="0" applyFont="1" applyBorder="1"/>
    <xf numFmtId="0" fontId="14" fillId="0" borderId="23" xfId="0" applyFont="1" applyBorder="1" applyAlignment="1">
      <alignment horizontal="center"/>
    </xf>
    <xf numFmtId="0" fontId="15" fillId="0" borderId="0" xfId="0" applyFont="1" applyAlignment="1">
      <alignment vertical="top"/>
    </xf>
    <xf numFmtId="0" fontId="11" fillId="7" borderId="24" xfId="0" applyFont="1" applyFill="1" applyBorder="1"/>
    <xf numFmtId="0" fontId="11" fillId="7" borderId="25" xfId="0" applyFont="1" applyFill="1" applyBorder="1"/>
    <xf numFmtId="0" fontId="11" fillId="7" borderId="26" xfId="0" applyFont="1" applyFill="1" applyBorder="1"/>
    <xf numFmtId="2" fontId="11" fillId="0" borderId="27" xfId="0" applyNumberFormat="1" applyFont="1" applyBorder="1"/>
    <xf numFmtId="2" fontId="11" fillId="0" borderId="28" xfId="0" applyNumberFormat="1" applyFont="1" applyBorder="1"/>
    <xf numFmtId="0" fontId="11" fillId="7" borderId="26" xfId="1" applyNumberFormat="1" applyFont="1" applyFill="1" applyBorder="1"/>
    <xf numFmtId="0" fontId="11" fillId="7" borderId="29" xfId="0" applyFont="1" applyFill="1" applyBorder="1"/>
    <xf numFmtId="2" fontId="11" fillId="0" borderId="30" xfId="0" applyNumberFormat="1" applyFont="1" applyBorder="1"/>
    <xf numFmtId="2" fontId="11" fillId="0" borderId="31" xfId="0" applyNumberFormat="1" applyFont="1" applyBorder="1"/>
    <xf numFmtId="0" fontId="15" fillId="0" borderId="0" xfId="0" applyFont="1"/>
    <xf numFmtId="0" fontId="16" fillId="0" borderId="0" xfId="0" applyFont="1" applyAlignment="1">
      <alignment wrapText="1"/>
    </xf>
    <xf numFmtId="0" fontId="11" fillId="0" borderId="0" xfId="0" applyFont="1" applyAlignment="1">
      <alignment wrapText="1"/>
    </xf>
    <xf numFmtId="0" fontId="7" fillId="0" borderId="0" xfId="0" applyFont="1" applyAlignment="1">
      <alignment wrapText="1"/>
    </xf>
    <xf numFmtId="0" fontId="8" fillId="2" borderId="5" xfId="0" applyFont="1" applyFill="1" applyBorder="1" applyAlignment="1">
      <alignment horizontal="left" wrapText="1"/>
    </xf>
    <xf numFmtId="0" fontId="8" fillId="0" borderId="0" xfId="0" applyFont="1" applyAlignment="1">
      <alignment horizontal="left" wrapText="1"/>
    </xf>
    <xf numFmtId="0" fontId="7" fillId="0" borderId="5" xfId="0" applyFont="1" applyBorder="1" applyAlignment="1">
      <alignment wrapText="1"/>
    </xf>
    <xf numFmtId="0" fontId="7" fillId="0" borderId="5" xfId="0" applyFont="1" applyBorder="1" applyAlignment="1">
      <alignment horizontal="right" wrapText="1"/>
    </xf>
    <xf numFmtId="3" fontId="7" fillId="0" borderId="5" xfId="0" applyNumberFormat="1" applyFont="1" applyBorder="1" applyAlignment="1">
      <alignment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11" fillId="0" borderId="5" xfId="0" applyFont="1" applyBorder="1" applyAlignment="1">
      <alignment horizontal="right" wrapText="1"/>
    </xf>
    <xf numFmtId="0" fontId="11" fillId="0" borderId="4" xfId="0" applyFont="1" applyBorder="1" applyAlignment="1">
      <alignment horizontal="left" vertical="center" wrapText="1"/>
    </xf>
    <xf numFmtId="0" fontId="8"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8"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11" fillId="0" borderId="7" xfId="0" applyFont="1" applyBorder="1" applyAlignment="1">
      <alignment horizontal="left" vertical="center" wrapText="1"/>
    </xf>
    <xf numFmtId="0" fontId="11" fillId="0" borderId="9" xfId="0" applyFont="1" applyBorder="1" applyAlignment="1">
      <alignment horizontal="left" vertical="center" wrapText="1"/>
    </xf>
    <xf numFmtId="0" fontId="8" fillId="0" borderId="0" xfId="0" applyFont="1" applyAlignment="1">
      <alignment horizontal="center" wrapText="1"/>
    </xf>
    <xf numFmtId="2" fontId="7" fillId="0" borderId="0" xfId="1" applyNumberFormat="1" applyFont="1" applyFill="1" applyBorder="1" applyAlignment="1">
      <alignment wrapText="1"/>
    </xf>
    <xf numFmtId="2" fontId="7" fillId="0" borderId="0" xfId="0" applyNumberFormat="1" applyFont="1" applyAlignment="1">
      <alignment wrapText="1"/>
    </xf>
    <xf numFmtId="0" fontId="11" fillId="8" borderId="0" xfId="0" applyFont="1" applyFill="1"/>
    <xf numFmtId="0" fontId="4" fillId="0" borderId="0" xfId="0" applyFont="1" applyAlignment="1">
      <alignment horizontal="center" vertical="center"/>
    </xf>
    <xf numFmtId="0" fontId="8" fillId="6" borderId="0" xfId="0" applyFont="1" applyFill="1" applyAlignment="1">
      <alignment horizontal="center" vertical="center"/>
    </xf>
    <xf numFmtId="3" fontId="7" fillId="3" borderId="20" xfId="0" applyNumberFormat="1" applyFont="1" applyFill="1" applyBorder="1" applyAlignment="1">
      <alignment horizontal="center"/>
    </xf>
    <xf numFmtId="3" fontId="7" fillId="3" borderId="18" xfId="0" applyNumberFormat="1" applyFont="1" applyFill="1" applyBorder="1" applyAlignment="1">
      <alignment horizontal="center"/>
    </xf>
    <xf numFmtId="3" fontId="7" fillId="3" borderId="19" xfId="0" applyNumberFormat="1" applyFont="1" applyFill="1" applyBorder="1" applyAlignment="1">
      <alignment horizontal="center"/>
    </xf>
    <xf numFmtId="0" fontId="8" fillId="0" borderId="21" xfId="0" applyFont="1" applyBorder="1" applyAlignment="1">
      <alignment horizontal="center" vertical="center"/>
    </xf>
    <xf numFmtId="0" fontId="8" fillId="0" borderId="17" xfId="0" applyFont="1" applyBorder="1" applyAlignment="1">
      <alignment horizontal="center" vertical="center"/>
    </xf>
    <xf numFmtId="0" fontId="8" fillId="5" borderId="0" xfId="0" applyFont="1" applyFill="1" applyAlignment="1">
      <alignment horizontal="center" vertical="center"/>
    </xf>
    <xf numFmtId="0" fontId="14" fillId="0" borderId="23" xfId="0" applyFont="1" applyFill="1" applyBorder="1" applyAlignment="1">
      <alignment horizontal="centerContinuous"/>
    </xf>
    <xf numFmtId="0" fontId="11" fillId="0" borderId="0" xfId="0" applyFont="1" applyFill="1" applyBorder="1" applyAlignment="1"/>
    <xf numFmtId="0" fontId="11" fillId="8" borderId="0" xfId="0" applyFont="1" applyFill="1" applyBorder="1" applyAlignment="1"/>
    <xf numFmtId="0" fontId="11" fillId="0" borderId="22" xfId="0" applyFont="1" applyFill="1" applyBorder="1" applyAlignment="1"/>
    <xf numFmtId="0" fontId="14" fillId="0" borderId="23" xfId="0" applyFont="1" applyFill="1" applyBorder="1" applyAlignment="1">
      <alignment horizontal="center"/>
    </xf>
    <xf numFmtId="0" fontId="7" fillId="8" borderId="0" xfId="0" applyFont="1" applyFill="1" applyAlignment="1">
      <alignment horizontal="left" vertical="top" wrapText="1"/>
    </xf>
    <xf numFmtId="0" fontId="7" fillId="0" borderId="0" xfId="0" applyFont="1" applyFill="1" applyAlignment="1">
      <alignment vertical="top" wrapText="1"/>
    </xf>
  </cellXfs>
  <cellStyles count="4">
    <cellStyle name="Comma" xfId="3" builtinId="3"/>
    <cellStyle name="Hyperlink" xfId="2" builtinId="8"/>
    <cellStyle name="Normal" xfId="0" builtinId="0"/>
    <cellStyle name="Percent" xfId="1" builtinId="5"/>
  </cellStyles>
  <dxfs count="0"/>
  <tableStyles count="0" defaultTableStyle="TableStyleMedium2" defaultPivotStyle="PivotStyleLight16"/>
  <colors>
    <mruColors>
      <color rgb="FFFFFDE2"/>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b="1"/>
              <a:t>Premier League </a:t>
            </a:r>
            <a:r>
              <a:rPr lang="en-US"/>
              <a:t>Average Home vs. Away Goal Differential</a:t>
            </a:r>
          </a:p>
        </c:rich>
      </c:tx>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C27D5D84-E604-194A-B2CC-E4B64C493348}"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D9A-2240-B755-B6F38CB6DA8A}"/>
                </c:ext>
              </c:extLst>
            </c:dLbl>
            <c:dLbl>
              <c:idx val="1"/>
              <c:tx>
                <c:rich>
                  <a:bodyPr/>
                  <a:lstStyle/>
                  <a:p>
                    <a:fld id="{85C083C1-1666-FE45-9ABE-6D41DB018D50}" type="CELLRANGE">
                      <a:rPr lang="en-US"/>
                      <a:pPr/>
                      <a:t>[CELLRANGE]</a:t>
                    </a:fld>
                    <a:endParaRPr lang="en-US"/>
                  </a:p>
                </c:rich>
              </c:tx>
              <c:dLblPos val="b"/>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0D9A-2240-B755-B6F38CB6DA8A}"/>
                </c:ext>
              </c:extLst>
            </c:dLbl>
            <c:dLbl>
              <c:idx val="2"/>
              <c:tx>
                <c:rich>
                  <a:bodyPr/>
                  <a:lstStyle/>
                  <a:p>
                    <a:fld id="{4DF33D42-4EB8-054E-AA89-301386409024}"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D9A-2240-B755-B6F38CB6DA8A}"/>
                </c:ext>
              </c:extLst>
            </c:dLbl>
            <c:dLbl>
              <c:idx val="3"/>
              <c:tx>
                <c:rich>
                  <a:bodyPr/>
                  <a:lstStyle/>
                  <a:p>
                    <a:fld id="{A5437668-8CEC-8345-BE16-9CF030FB162A}"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D9A-2240-B755-B6F38CB6DA8A}"/>
                </c:ext>
              </c:extLst>
            </c:dLbl>
            <c:dLbl>
              <c:idx val="4"/>
              <c:tx>
                <c:rich>
                  <a:bodyPr/>
                  <a:lstStyle/>
                  <a:p>
                    <a:fld id="{0D8E787E-9471-E548-807A-AC9C1353C347}"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D9A-2240-B755-B6F38CB6DA8A}"/>
                </c:ext>
              </c:extLst>
            </c:dLbl>
            <c:dLbl>
              <c:idx val="5"/>
              <c:tx>
                <c:rich>
                  <a:bodyPr/>
                  <a:lstStyle/>
                  <a:p>
                    <a:fld id="{BFF13A75-2E9A-154B-9775-C3EC173E51CF}" type="CELLRANGE">
                      <a:rPr lang="en-US"/>
                      <a:pPr/>
                      <a:t>[CELLRANGE]</a:t>
                    </a:fld>
                    <a:endParaRPr lang="en-US"/>
                  </a:p>
                </c:rich>
              </c:tx>
              <c:dLblPos val="t"/>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0D9A-2240-B755-B6F38CB6DA8A}"/>
                </c:ext>
              </c:extLst>
            </c:dLbl>
            <c:dLbl>
              <c:idx val="6"/>
              <c:tx>
                <c:rich>
                  <a:bodyPr/>
                  <a:lstStyle/>
                  <a:p>
                    <a:fld id="{1AC6B78E-91F5-6D46-BE0B-D732F2D462CE}"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D9A-2240-B755-B6F38CB6DA8A}"/>
                </c:ext>
              </c:extLst>
            </c:dLbl>
            <c:dLbl>
              <c:idx val="7"/>
              <c:tx>
                <c:rich>
                  <a:bodyPr/>
                  <a:lstStyle/>
                  <a:p>
                    <a:fld id="{A8F591AC-05E5-7341-8A64-8A16E1DE13B2}"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D9A-2240-B755-B6F38CB6DA8A}"/>
                </c:ext>
              </c:extLst>
            </c:dLbl>
            <c:dLbl>
              <c:idx val="8"/>
              <c:tx>
                <c:rich>
                  <a:bodyPr/>
                  <a:lstStyle/>
                  <a:p>
                    <a:fld id="{2F017A29-EA67-DD46-BFA5-8D5038EAA697}"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D9A-2240-B755-B6F38CB6DA8A}"/>
                </c:ext>
              </c:extLst>
            </c:dLbl>
            <c:dLbl>
              <c:idx val="9"/>
              <c:tx>
                <c:rich>
                  <a:bodyPr/>
                  <a:lstStyle/>
                  <a:p>
                    <a:fld id="{951706DC-482B-014A-9FEC-D18061A74DA9}"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D9A-2240-B755-B6F38CB6DA8A}"/>
                </c:ext>
              </c:extLst>
            </c:dLbl>
            <c:dLbl>
              <c:idx val="10"/>
              <c:tx>
                <c:rich>
                  <a:bodyPr/>
                  <a:lstStyle/>
                  <a:p>
                    <a:fld id="{127579D7-CD13-2F45-8CC6-8AA15F982A94}"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0D9A-2240-B755-B6F38CB6DA8A}"/>
                </c:ext>
              </c:extLst>
            </c:dLbl>
            <c:dLbl>
              <c:idx val="11"/>
              <c:tx>
                <c:rich>
                  <a:bodyPr/>
                  <a:lstStyle/>
                  <a:p>
                    <a:fld id="{8824E39B-D428-3941-ACB2-4CE6BBBE4504}"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D9A-2240-B755-B6F38CB6DA8A}"/>
                </c:ext>
              </c:extLst>
            </c:dLbl>
            <c:dLbl>
              <c:idx val="12"/>
              <c:tx>
                <c:rich>
                  <a:bodyPr/>
                  <a:lstStyle/>
                  <a:p>
                    <a:fld id="{7F1BACA0-4397-E343-96C7-7F743D9E1D44}" type="CELLRANGE">
                      <a:rPr lang="en-US"/>
                      <a:pPr/>
                      <a:t>[CELLRANGE]</a:t>
                    </a:fld>
                    <a:endParaRPr lang="en-US"/>
                  </a:p>
                </c:rich>
              </c:tx>
              <c:dLblPos val="l"/>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D9A-2240-B755-B6F38CB6DA8A}"/>
                </c:ext>
              </c:extLst>
            </c:dLbl>
            <c:dLbl>
              <c:idx val="13"/>
              <c:tx>
                <c:rich>
                  <a:bodyPr/>
                  <a:lstStyle/>
                  <a:p>
                    <a:fld id="{ECA5CDA5-BA54-ED41-99BD-B2F65174665E}"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0D9A-2240-B755-B6F38CB6DA8A}"/>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l"/>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exp"/>
            <c:dispRSqr val="0"/>
            <c:dispEq val="0"/>
          </c:trendline>
          <c:xVal>
            <c:numRef>
              <c:f>EDA!$C$40:$C$53</c:f>
              <c:numCache>
                <c:formatCode>0</c:formatCode>
                <c:ptCount val="14"/>
                <c:pt idx="0">
                  <c:v>20.333333333333332</c:v>
                </c:pt>
                <c:pt idx="1">
                  <c:v>-2</c:v>
                </c:pt>
                <c:pt idx="2">
                  <c:v>-15</c:v>
                </c:pt>
                <c:pt idx="3">
                  <c:v>19.333333333333332</c:v>
                </c:pt>
                <c:pt idx="4">
                  <c:v>-1.6666666666666667</c:v>
                </c:pt>
                <c:pt idx="5">
                  <c:v>3</c:v>
                </c:pt>
                <c:pt idx="6">
                  <c:v>-8.6666666666666661</c:v>
                </c:pt>
                <c:pt idx="7">
                  <c:v>28.666666666666668</c:v>
                </c:pt>
                <c:pt idx="8">
                  <c:v>35.333333333333336</c:v>
                </c:pt>
                <c:pt idx="9">
                  <c:v>7</c:v>
                </c:pt>
                <c:pt idx="10">
                  <c:v>6.333333333333333</c:v>
                </c:pt>
                <c:pt idx="11">
                  <c:v>14.666666666666666</c:v>
                </c:pt>
                <c:pt idx="12">
                  <c:v>6</c:v>
                </c:pt>
                <c:pt idx="13">
                  <c:v>-0.33333333333333331</c:v>
                </c:pt>
              </c:numCache>
            </c:numRef>
          </c:xVal>
          <c:yVal>
            <c:numRef>
              <c:f>EDA!$D$40:$D$53</c:f>
              <c:numCache>
                <c:formatCode>0</c:formatCode>
                <c:ptCount val="14"/>
                <c:pt idx="0">
                  <c:v>13</c:v>
                </c:pt>
                <c:pt idx="1">
                  <c:v>-10.666666666666666</c:v>
                </c:pt>
                <c:pt idx="2">
                  <c:v>-12.333333333333334</c:v>
                </c:pt>
                <c:pt idx="3">
                  <c:v>0.66666666666666663</c:v>
                </c:pt>
                <c:pt idx="4">
                  <c:v>-7.666666666666667</c:v>
                </c:pt>
                <c:pt idx="5">
                  <c:v>-4.333333333333333</c:v>
                </c:pt>
                <c:pt idx="6">
                  <c:v>-17.666666666666668</c:v>
                </c:pt>
                <c:pt idx="7">
                  <c:v>17.333333333333332</c:v>
                </c:pt>
                <c:pt idx="8">
                  <c:v>26.333333333333332</c:v>
                </c:pt>
                <c:pt idx="9">
                  <c:v>6</c:v>
                </c:pt>
                <c:pt idx="10">
                  <c:v>-6</c:v>
                </c:pt>
                <c:pt idx="11">
                  <c:v>6.666666666666667</c:v>
                </c:pt>
                <c:pt idx="12">
                  <c:v>-6.666666666666667</c:v>
                </c:pt>
                <c:pt idx="13">
                  <c:v>-9.6666666666666661</c:v>
                </c:pt>
              </c:numCache>
            </c:numRef>
          </c:yVal>
          <c:smooth val="0"/>
          <c:extLst>
            <c:ext xmlns:c15="http://schemas.microsoft.com/office/drawing/2012/chart" uri="{02D57815-91ED-43cb-92C2-25804820EDAC}">
              <c15:datalabelsRange>
                <c15:f>EDA!$B$40:$B$53</c15:f>
                <c15:dlblRangeCache>
                  <c:ptCount val="14"/>
                  <c:pt idx="0">
                    <c:v> Arsenal</c:v>
                  </c:pt>
                  <c:pt idx="1">
                    <c:v> Brighton</c:v>
                  </c:pt>
                  <c:pt idx="2">
                    <c:v> Burnley</c:v>
                  </c:pt>
                  <c:pt idx="3">
                    <c:v> Chelsea</c:v>
                  </c:pt>
                  <c:pt idx="4">
                    <c:v> Crystal Palace</c:v>
                  </c:pt>
                  <c:pt idx="5">
                    <c:v> Everton</c:v>
                  </c:pt>
                  <c:pt idx="6">
                    <c:v> Fulham</c:v>
                  </c:pt>
                  <c:pt idx="7">
                    <c:v> Liverpool</c:v>
                  </c:pt>
                  <c:pt idx="8">
                    <c:v> Manchester City</c:v>
                  </c:pt>
                  <c:pt idx="9">
                    <c:v> Manchester Utd</c:v>
                  </c:pt>
                  <c:pt idx="10">
                    <c:v> Newcastle Utd</c:v>
                  </c:pt>
                  <c:pt idx="11">
                    <c:v> Tottenham</c:v>
                  </c:pt>
                  <c:pt idx="12">
                    <c:v> West Ham</c:v>
                  </c:pt>
                  <c:pt idx="13">
                    <c:v> Wolves</c:v>
                  </c:pt>
                </c15:dlblRangeCache>
              </c15:datalabelsRange>
            </c:ext>
            <c:ext xmlns:c16="http://schemas.microsoft.com/office/drawing/2014/chart" uri="{C3380CC4-5D6E-409C-BE32-E72D297353CC}">
              <c16:uniqueId val="{0000000F-0D9A-2240-B755-B6F38CB6DA8A}"/>
            </c:ext>
          </c:extLst>
        </c:ser>
        <c:dLbls>
          <c:dLblPos val="r"/>
          <c:showLegendKey val="0"/>
          <c:showVal val="1"/>
          <c:showCatName val="0"/>
          <c:showSerName val="0"/>
          <c:showPercent val="0"/>
          <c:showBubbleSize val="0"/>
        </c:dLbls>
        <c:axId val="2034345152"/>
        <c:axId val="1981833536"/>
      </c:scatterChart>
      <c:valAx>
        <c:axId val="2034345152"/>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Average Home GD</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981833536"/>
        <c:crosses val="autoZero"/>
        <c:crossBetween val="midCat"/>
      </c:valAx>
      <c:valAx>
        <c:axId val="1981833536"/>
        <c:scaling>
          <c:orientation val="minMax"/>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Average Away GD</a:t>
                </a:r>
              </a:p>
            </c:rich>
          </c:tx>
          <c:layout>
            <c:manualLayout>
              <c:xMode val="edge"/>
              <c:yMode val="edge"/>
              <c:x val="1.0555968451230248E-2"/>
              <c:y val="0.3306854386731931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2034345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8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b="1"/>
              <a:t>Premier League</a:t>
            </a:r>
            <a:r>
              <a:rPr lang="en-US" b="0"/>
              <a:t> </a:t>
            </a:r>
            <a:r>
              <a:rPr lang="en-US" sz="960" b="0" i="0" u="none" strike="noStrike" baseline="0"/>
              <a:t>Average Home GD vs. Attendance</a:t>
            </a:r>
            <a:endParaRPr lang="en-US" b="1"/>
          </a:p>
        </c:rich>
      </c:tx>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5E54D39B-1AAE-FD42-A2D4-97ABE3947CBC}"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D24-0249-B7D6-0C2D0123C855}"/>
                </c:ext>
              </c:extLst>
            </c:dLbl>
            <c:dLbl>
              <c:idx val="1"/>
              <c:tx>
                <c:rich>
                  <a:bodyPr/>
                  <a:lstStyle/>
                  <a:p>
                    <a:fld id="{C4554E23-D239-9E48-BE4C-1A886AC2BA65}" type="CELLRANGE">
                      <a:rPr lang="en-US"/>
                      <a:pPr/>
                      <a:t>[CELLRANGE]</a:t>
                    </a:fld>
                    <a:endParaRPr lang="en-US"/>
                  </a:p>
                </c:rich>
              </c:tx>
              <c:dLblPos val="t"/>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BD24-0249-B7D6-0C2D0123C855}"/>
                </c:ext>
              </c:extLst>
            </c:dLbl>
            <c:dLbl>
              <c:idx val="2"/>
              <c:tx>
                <c:rich>
                  <a:bodyPr/>
                  <a:lstStyle/>
                  <a:p>
                    <a:fld id="{030AB849-8A84-204B-9054-A1CD8047AACB}"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D24-0249-B7D6-0C2D0123C855}"/>
                </c:ext>
              </c:extLst>
            </c:dLbl>
            <c:dLbl>
              <c:idx val="3"/>
              <c:tx>
                <c:rich>
                  <a:bodyPr/>
                  <a:lstStyle/>
                  <a:p>
                    <a:fld id="{9D92CE32-6E18-7E47-B6EF-21A8BE0212CD}"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D24-0249-B7D6-0C2D0123C855}"/>
                </c:ext>
              </c:extLst>
            </c:dLbl>
            <c:dLbl>
              <c:idx val="4"/>
              <c:tx>
                <c:rich>
                  <a:bodyPr/>
                  <a:lstStyle/>
                  <a:p>
                    <a:fld id="{08060751-EDED-7F42-B05B-48348F161D3A}"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D24-0249-B7D6-0C2D0123C855}"/>
                </c:ext>
              </c:extLst>
            </c:dLbl>
            <c:dLbl>
              <c:idx val="5"/>
              <c:tx>
                <c:rich>
                  <a:bodyPr/>
                  <a:lstStyle/>
                  <a:p>
                    <a:fld id="{130A1BEE-BD61-9B40-8065-7A1394D909B3}"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24-0249-B7D6-0C2D0123C855}"/>
                </c:ext>
              </c:extLst>
            </c:dLbl>
            <c:dLbl>
              <c:idx val="6"/>
              <c:tx>
                <c:rich>
                  <a:bodyPr/>
                  <a:lstStyle/>
                  <a:p>
                    <a:fld id="{004A725B-8B67-8546-A22B-474A0F41B223}"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D24-0249-B7D6-0C2D0123C855}"/>
                </c:ext>
              </c:extLst>
            </c:dLbl>
            <c:dLbl>
              <c:idx val="7"/>
              <c:tx>
                <c:rich>
                  <a:bodyPr/>
                  <a:lstStyle/>
                  <a:p>
                    <a:fld id="{6B7E098F-C6F1-EC40-89CC-FFC21FF5DE42}"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D24-0249-B7D6-0C2D0123C855}"/>
                </c:ext>
              </c:extLst>
            </c:dLbl>
            <c:dLbl>
              <c:idx val="8"/>
              <c:tx>
                <c:rich>
                  <a:bodyPr/>
                  <a:lstStyle/>
                  <a:p>
                    <a:fld id="{3BEF0848-AC9F-5842-82D4-850E9E413149}"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D24-0249-B7D6-0C2D0123C855}"/>
                </c:ext>
              </c:extLst>
            </c:dLbl>
            <c:dLbl>
              <c:idx val="9"/>
              <c:tx>
                <c:rich>
                  <a:bodyPr/>
                  <a:lstStyle/>
                  <a:p>
                    <a:fld id="{49C6DDCD-BE29-724C-AD3B-BDD1F6DCFB1D}"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D24-0249-B7D6-0C2D0123C855}"/>
                </c:ext>
              </c:extLst>
            </c:dLbl>
            <c:dLbl>
              <c:idx val="10"/>
              <c:tx>
                <c:rich>
                  <a:bodyPr/>
                  <a:lstStyle/>
                  <a:p>
                    <a:fld id="{3D6CC881-F8E1-2E4A-9C9F-8A3DC6610750}"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D24-0249-B7D6-0C2D0123C855}"/>
                </c:ext>
              </c:extLst>
            </c:dLbl>
            <c:dLbl>
              <c:idx val="11"/>
              <c:tx>
                <c:rich>
                  <a:bodyPr/>
                  <a:lstStyle/>
                  <a:p>
                    <a:fld id="{608294F6-3386-774C-97C6-35D02D7F953C}"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D24-0249-B7D6-0C2D0123C855}"/>
                </c:ext>
              </c:extLst>
            </c:dLbl>
            <c:dLbl>
              <c:idx val="12"/>
              <c:tx>
                <c:rich>
                  <a:bodyPr/>
                  <a:lstStyle/>
                  <a:p>
                    <a:fld id="{04603337-B1E1-5546-8A26-120CEE9D5160}"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D24-0249-B7D6-0C2D0123C855}"/>
                </c:ext>
              </c:extLst>
            </c:dLbl>
            <c:dLbl>
              <c:idx val="13"/>
              <c:tx>
                <c:rich>
                  <a:bodyPr/>
                  <a:lstStyle/>
                  <a:p>
                    <a:fld id="{F8D1713A-C562-5C49-8B27-1EE1C27D768E}" type="CELLRANGE">
                      <a:rPr lang="en-US"/>
                      <a:pPr/>
                      <a:t>[CELLRANGE]</a:t>
                    </a:fld>
                    <a:endParaRPr lang="en-US"/>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D24-0249-B7D6-0C2D0123C855}"/>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dLblPos val="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xVal>
            <c:numRef>
              <c:f>EDA!$H$40:$H$53</c:f>
              <c:numCache>
                <c:formatCode>0</c:formatCode>
                <c:ptCount val="14"/>
                <c:pt idx="0">
                  <c:v>20.333333333333332</c:v>
                </c:pt>
                <c:pt idx="1">
                  <c:v>-2</c:v>
                </c:pt>
                <c:pt idx="2">
                  <c:v>-15</c:v>
                </c:pt>
                <c:pt idx="3">
                  <c:v>19.333333333333332</c:v>
                </c:pt>
                <c:pt idx="4">
                  <c:v>-1.6666666666666667</c:v>
                </c:pt>
                <c:pt idx="5">
                  <c:v>3</c:v>
                </c:pt>
                <c:pt idx="6">
                  <c:v>-8.6666666666666661</c:v>
                </c:pt>
                <c:pt idx="7">
                  <c:v>28.666666666666668</c:v>
                </c:pt>
                <c:pt idx="8">
                  <c:v>35.333333333333336</c:v>
                </c:pt>
                <c:pt idx="9">
                  <c:v>7</c:v>
                </c:pt>
                <c:pt idx="10">
                  <c:v>6.333333333333333</c:v>
                </c:pt>
                <c:pt idx="11">
                  <c:v>14.666666666666666</c:v>
                </c:pt>
                <c:pt idx="12">
                  <c:v>6</c:v>
                </c:pt>
                <c:pt idx="13">
                  <c:v>-0.33333333333333331</c:v>
                </c:pt>
              </c:numCache>
            </c:numRef>
          </c:xVal>
          <c:yVal>
            <c:numRef>
              <c:f>EDA!$I$40:$I$53</c:f>
              <c:numCache>
                <c:formatCode>0</c:formatCode>
                <c:ptCount val="14"/>
                <c:pt idx="0">
                  <c:v>40255.666666666664</c:v>
                </c:pt>
                <c:pt idx="1">
                  <c:v>21195.666666666668</c:v>
                </c:pt>
                <c:pt idx="2">
                  <c:v>13965.333333333334</c:v>
                </c:pt>
                <c:pt idx="3">
                  <c:v>26829</c:v>
                </c:pt>
                <c:pt idx="4">
                  <c:v>16944.666666666668</c:v>
                </c:pt>
                <c:pt idx="5">
                  <c:v>26151</c:v>
                </c:pt>
                <c:pt idx="6">
                  <c:v>16294.666666666666</c:v>
                </c:pt>
                <c:pt idx="7">
                  <c:v>36599.666666666664</c:v>
                </c:pt>
                <c:pt idx="8">
                  <c:v>35889.333333333336</c:v>
                </c:pt>
                <c:pt idx="9">
                  <c:v>49519</c:v>
                </c:pt>
                <c:pt idx="10">
                  <c:v>34590.666666666664</c:v>
                </c:pt>
                <c:pt idx="11">
                  <c:v>38776.666666666664</c:v>
                </c:pt>
                <c:pt idx="12">
                  <c:v>40511.666666666664</c:v>
                </c:pt>
                <c:pt idx="13">
                  <c:v>20765.333333333332</c:v>
                </c:pt>
              </c:numCache>
            </c:numRef>
          </c:yVal>
          <c:smooth val="0"/>
          <c:extLst>
            <c:ext xmlns:c15="http://schemas.microsoft.com/office/drawing/2012/chart" uri="{02D57815-91ED-43cb-92C2-25804820EDAC}">
              <c15:datalabelsRange>
                <c15:f>EDA!$G$40:$G$53</c15:f>
                <c15:dlblRangeCache>
                  <c:ptCount val="14"/>
                  <c:pt idx="0">
                    <c:v> Arsenal</c:v>
                  </c:pt>
                  <c:pt idx="1">
                    <c:v> Brighton</c:v>
                  </c:pt>
                  <c:pt idx="2">
                    <c:v> Burnley</c:v>
                  </c:pt>
                  <c:pt idx="3">
                    <c:v> Chelsea</c:v>
                  </c:pt>
                  <c:pt idx="4">
                    <c:v> Crystal Palace</c:v>
                  </c:pt>
                  <c:pt idx="5">
                    <c:v> Everton</c:v>
                  </c:pt>
                  <c:pt idx="6">
                    <c:v> Fulham</c:v>
                  </c:pt>
                  <c:pt idx="7">
                    <c:v> Liverpool</c:v>
                  </c:pt>
                  <c:pt idx="8">
                    <c:v> Manchester City</c:v>
                  </c:pt>
                  <c:pt idx="9">
                    <c:v> Manchester Utd</c:v>
                  </c:pt>
                  <c:pt idx="10">
                    <c:v> Newcastle Utd</c:v>
                  </c:pt>
                  <c:pt idx="11">
                    <c:v> Tottenham</c:v>
                  </c:pt>
                  <c:pt idx="12">
                    <c:v> West Ham</c:v>
                  </c:pt>
                  <c:pt idx="13">
                    <c:v> Wolves</c:v>
                  </c:pt>
                </c15:dlblRangeCache>
              </c15:datalabelsRange>
            </c:ext>
            <c:ext xmlns:c16="http://schemas.microsoft.com/office/drawing/2014/chart" uri="{C3380CC4-5D6E-409C-BE32-E72D297353CC}">
              <c16:uniqueId val="{0000000F-BD24-0249-B7D6-0C2D0123C855}"/>
            </c:ext>
          </c:extLst>
        </c:ser>
        <c:dLbls>
          <c:dLblPos val="r"/>
          <c:showLegendKey val="0"/>
          <c:showVal val="1"/>
          <c:showCatName val="0"/>
          <c:showSerName val="0"/>
          <c:showPercent val="0"/>
          <c:showBubbleSize val="0"/>
        </c:dLbls>
        <c:axId val="1923395840"/>
        <c:axId val="1943913344"/>
      </c:scatterChart>
      <c:valAx>
        <c:axId val="1923395840"/>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Average Home GD</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943913344"/>
        <c:crosses val="autoZero"/>
        <c:crossBetween val="midCat"/>
      </c:valAx>
      <c:valAx>
        <c:axId val="1943913344"/>
        <c:scaling>
          <c:orientation val="minMax"/>
        </c:scaling>
        <c:delete val="0"/>
        <c:axPos val="l"/>
        <c:title>
          <c:tx>
            <c:rich>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Average Attendance</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923395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8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b="1"/>
              <a:t>Premier League </a:t>
            </a:r>
            <a:r>
              <a:rPr lang="en-US"/>
              <a:t>Average Home Pts/MP by Season</a:t>
            </a:r>
          </a:p>
        </c:rich>
      </c:tx>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autoTitleDeleted val="0"/>
    <c:plotArea>
      <c:layout/>
      <c:lineChart>
        <c:grouping val="standard"/>
        <c:varyColors val="0"/>
        <c:ser>
          <c:idx val="0"/>
          <c:order val="0"/>
          <c:tx>
            <c:strRef>
              <c:f>EDA!$N$47</c:f>
              <c:strCache>
                <c:ptCount val="1"/>
                <c:pt idx="0">
                  <c:v>Average Home Pts/MP</c:v>
                </c:pt>
              </c:strCache>
            </c:strRef>
          </c:tx>
          <c:spPr>
            <a:ln w="28575" cap="rnd">
              <a:solidFill>
                <a:schemeClr val="accent1"/>
              </a:solidFill>
              <a:round/>
            </a:ln>
            <a:effectLst/>
          </c:spPr>
          <c:marker>
            <c:symbol val="none"/>
          </c:marker>
          <c:cat>
            <c:strRef>
              <c:f>EDA!$M$48:$M$50</c:f>
              <c:strCache>
                <c:ptCount val="3"/>
                <c:pt idx="0">
                  <c:v>2018-19</c:v>
                </c:pt>
                <c:pt idx="1">
                  <c:v>2020-21</c:v>
                </c:pt>
                <c:pt idx="2">
                  <c:v>2023-24</c:v>
                </c:pt>
              </c:strCache>
            </c:strRef>
          </c:cat>
          <c:val>
            <c:numRef>
              <c:f>EDA!$N$48:$N$50</c:f>
              <c:numCache>
                <c:formatCode>0.00</c:formatCode>
                <c:ptCount val="3"/>
                <c:pt idx="0">
                  <c:v>1.8007142857142855</c:v>
                </c:pt>
                <c:pt idx="1">
                  <c:v>1.4114285714285713</c:v>
                </c:pt>
                <c:pt idx="2">
                  <c:v>1.7750000000000001</c:v>
                </c:pt>
              </c:numCache>
            </c:numRef>
          </c:val>
          <c:smooth val="0"/>
          <c:extLst>
            <c:ext xmlns:c16="http://schemas.microsoft.com/office/drawing/2014/chart" uri="{C3380CC4-5D6E-409C-BE32-E72D297353CC}">
              <c16:uniqueId val="{00000000-6DA4-A144-B1F3-0E738046FFD9}"/>
            </c:ext>
          </c:extLst>
        </c:ser>
        <c:dLbls>
          <c:showLegendKey val="0"/>
          <c:showVal val="0"/>
          <c:showCatName val="0"/>
          <c:showSerName val="0"/>
          <c:showPercent val="0"/>
          <c:showBubbleSize val="0"/>
        </c:dLbls>
        <c:smooth val="0"/>
        <c:axId val="1937715008"/>
        <c:axId val="1914423936"/>
      </c:lineChart>
      <c:catAx>
        <c:axId val="193771500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Season</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914423936"/>
        <c:crosses val="autoZero"/>
        <c:auto val="1"/>
        <c:lblAlgn val="ctr"/>
        <c:lblOffset val="100"/>
        <c:noMultiLvlLbl val="0"/>
      </c:catAx>
      <c:valAx>
        <c:axId val="1914423936"/>
        <c:scaling>
          <c:orientation val="minMax"/>
          <c:max val="2"/>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a:t>Averaeg Pts/MP</a:t>
                </a:r>
              </a:p>
            </c:rich>
          </c:tx>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crossAx val="193771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8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Average Home Pts/MP by Season</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'CP6 Analysis'!$B$5:$B$7</c:f>
              <c:strCache>
                <c:ptCount val="3"/>
                <c:pt idx="0">
                  <c:v>2018-19</c:v>
                </c:pt>
                <c:pt idx="1">
                  <c:v>2020-21</c:v>
                </c:pt>
                <c:pt idx="2">
                  <c:v>2023-24</c:v>
                </c:pt>
              </c:strCache>
            </c:strRef>
          </c:cat>
          <c:val>
            <c:numRef>
              <c:f>'CP6 Analysis'!$C$5:$C$7</c:f>
              <c:numCache>
                <c:formatCode>#,##0.00</c:formatCode>
                <c:ptCount val="3"/>
                <c:pt idx="0">
                  <c:v>1.8007142857142855</c:v>
                </c:pt>
                <c:pt idx="1">
                  <c:v>1.4114285714285713</c:v>
                </c:pt>
                <c:pt idx="2">
                  <c:v>1.7750000000000001</c:v>
                </c:pt>
              </c:numCache>
            </c:numRef>
          </c:val>
          <c:smooth val="0"/>
          <c:extLst>
            <c:ext xmlns:c16="http://schemas.microsoft.com/office/drawing/2014/chart" uri="{C3380CC4-5D6E-409C-BE32-E72D297353CC}">
              <c16:uniqueId val="{00000000-1A3A-0842-94E6-F197F20AF8C4}"/>
            </c:ext>
          </c:extLst>
        </c:ser>
        <c:dLbls>
          <c:showLegendKey val="0"/>
          <c:showVal val="0"/>
          <c:showCatName val="0"/>
          <c:showSerName val="0"/>
          <c:showPercent val="0"/>
          <c:showBubbleSize val="0"/>
        </c:dLbls>
        <c:marker val="1"/>
        <c:smooth val="0"/>
        <c:axId val="1323499519"/>
        <c:axId val="1323505343"/>
      </c:lineChart>
      <c:catAx>
        <c:axId val="1323499519"/>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000"/>
                  <a:t>Season</a:t>
                </a:r>
              </a:p>
            </c:rich>
          </c:tx>
          <c:layout>
            <c:manualLayout>
              <c:xMode val="edge"/>
              <c:yMode val="edge"/>
              <c:x val="0.50728455818022744"/>
              <c:y val="0.91171296296296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23505343"/>
        <c:crosses val="autoZero"/>
        <c:auto val="1"/>
        <c:lblAlgn val="ctr"/>
        <c:lblOffset val="100"/>
        <c:noMultiLvlLbl val="0"/>
      </c:catAx>
      <c:valAx>
        <c:axId val="1323505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000"/>
                  <a:t>Average Home Pts/MP</a:t>
                </a:r>
              </a:p>
            </c:rich>
          </c:tx>
          <c:layout>
            <c:manualLayout>
              <c:xMode val="edge"/>
              <c:yMode val="edge"/>
              <c:x val="1.3888888888888888E-2"/>
              <c:y val="0.258310002916302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32349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tx>
        <cx:rich>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Premier League</a:t>
            </a: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Average Home Attendance by Season</a:t>
            </a:r>
            <a:endPar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rich>
      </cx:tx>
    </cx:title>
    <cx:plotArea>
      <cx:plotAreaRegion>
        <cx:series layoutId="boxWhisker" uniqueId="{9E53E887-8F7F-FD4B-8E66-A012E04B3A98}">
          <cx:tx>
            <cx:txData>
              <cx:f>_xlchart.v1.6</cx:f>
              <cx:v>2018-19</cx:v>
            </cx:txData>
          </cx:tx>
          <cx:dataId val="0"/>
          <cx:layoutPr>
            <cx:visibility meanLine="0" meanMarker="1" nonoutliers="1" outliers="1"/>
            <cx:statistics quartileMethod="exclusive"/>
          </cx:layoutPr>
        </cx:series>
        <cx:series layoutId="boxWhisker" uniqueId="{549B9BDA-591B-5E4A-9926-9F3348CFA936}">
          <cx:tx>
            <cx:txData>
              <cx:f>_xlchart.v1.8</cx:f>
              <cx:v>2020-21</cx:v>
            </cx:txData>
          </cx:tx>
          <cx:dataId val="1"/>
          <cx:layoutPr>
            <cx:visibility meanLine="0" meanMarker="1" nonoutliers="0" outliers="1"/>
            <cx:statistics quartileMethod="exclusive"/>
          </cx:layoutPr>
        </cx:series>
        <cx:series layoutId="boxWhisker" uniqueId="{AF2A6FF2-38AC-F041-A645-D1F5A332F202}">
          <cx:tx>
            <cx:txData>
              <cx:f>_xlchart.v1.10</cx:f>
              <cx:v>2023-24</cx:v>
            </cx:txData>
          </cx:tx>
          <cx:dataId val="2"/>
          <cx:layoutPr>
            <cx:visibility meanLine="0" meanMarker="1" nonoutliers="1" outliers="1"/>
            <cx:statistics quartileMethod="exclusive"/>
          </cx:layoutPr>
        </cx:series>
      </cx:plotAreaRegion>
      <cx:axis id="0" hidden="1">
        <cx:catScaling gapWidth="1"/>
        <cx:title>
          <cx:tx>
            <cx:txData>
              <cx:v>Season</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Season</a:t>
              </a:r>
            </a:p>
          </cx:txPr>
        </cx:title>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axis id="1">
        <cx:valScaling/>
        <cx:title>
          <cx:tx>
            <cx:txData>
              <cx:v>Home Attendance</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Home Attendance</a:t>
              </a:r>
            </a:p>
          </cx:txPr>
        </cx:title>
        <cx:majorGridlines/>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plotArea>
    <cx:legend pos="r" align="ctr" overlay="0">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rich>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Premier League</a:t>
            </a: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Home Goal Differential by Season</a:t>
            </a:r>
            <a:endPar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rich>
      </cx:tx>
    </cx:title>
    <cx:plotArea>
      <cx:plotAreaRegion>
        <cx:series layoutId="boxWhisker" uniqueId="{9E47D2CB-842F-6B43-A708-64026D3751F0}">
          <cx:tx>
            <cx:txData>
              <cx:f>_xlchart.v1.0</cx:f>
              <cx:v>2018-19</cx:v>
            </cx:txData>
          </cx:tx>
          <cx:dataId val="0"/>
          <cx:layoutPr>
            <cx:visibility meanLine="0" meanMarker="1" nonoutliers="1" outliers="1"/>
            <cx:statistics quartileMethod="exclusive"/>
          </cx:layoutPr>
        </cx:series>
        <cx:series layoutId="boxWhisker" uniqueId="{EE818295-2E94-354C-8432-D45827DC9ECA}">
          <cx:tx>
            <cx:txData>
              <cx:f>_xlchart.v1.2</cx:f>
              <cx:v>2020-21</cx:v>
            </cx:txData>
          </cx:tx>
          <cx:dataId val="1"/>
          <cx:layoutPr>
            <cx:visibility meanLine="0" meanMarker="1" nonoutliers="1" outliers="1"/>
            <cx:statistics quartileMethod="exclusive"/>
          </cx:layoutPr>
        </cx:series>
        <cx:series layoutId="boxWhisker" uniqueId="{DD47CD75-0DFD-2A46-B846-ED9E7C9DF957}">
          <cx:tx>
            <cx:txData>
              <cx:f>_xlchart.v1.4</cx:f>
              <cx:v>2023-24</cx:v>
            </cx:txData>
          </cx:tx>
          <cx:dataId val="2"/>
          <cx:layoutPr>
            <cx:visibility meanLine="0" meanMarker="1" nonoutliers="1" outliers="1"/>
            <cx:statistics quartileMethod="exclusive"/>
          </cx:layoutPr>
        </cx:series>
      </cx:plotAreaRegion>
      <cx:axis id="0" hidden="1">
        <cx:catScaling gapWidth="1.5"/>
        <cx:title>
          <cx:tx>
            <cx:txData>
              <cx:v>Season</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Season</a:t>
              </a:r>
            </a:p>
          </cx:txPr>
        </cx:title>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axis id="1">
        <cx:valScaling/>
        <cx:title>
          <cx:tx>
            <cx:txData>
              <cx:v>Home GD</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Home GD</a:t>
              </a:r>
            </a:p>
          </cx:txPr>
        </cx:title>
        <cx:majorGridlines/>
        <cx:majorTickMarks type="out"/>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plotArea>
    <cx:legend pos="r" align="ctr" overlay="0">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data id="2">
      <cx:numDim type="val">
        <cx:f>_xlchart.v1.17</cx:f>
      </cx:numDim>
    </cx:data>
  </cx:chartData>
  <cx:chart>
    <cx:title pos="t" align="ctr" overlay="0">
      <cx:tx>
        <cx:rich>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Premier League</a:t>
            </a: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 Home Win Percentage by Season </a:t>
            </a:r>
            <a:endParaRPr lang="en-US" sz="1000" b="1"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rich>
      </cx:tx>
    </cx:title>
    <cx:plotArea>
      <cx:plotAreaRegion>
        <cx:series layoutId="boxWhisker" uniqueId="{0B22257F-A4ED-B147-9ED8-86EDC149FA75}">
          <cx:tx>
            <cx:txData>
              <cx:f>_xlchart.v1.12</cx:f>
              <cx:v>2018-19</cx:v>
            </cx:txData>
          </cx:tx>
          <cx:dataId val="0"/>
          <cx:layoutPr>
            <cx:visibility meanLine="0" meanMarker="1" nonoutliers="1" outliers="1"/>
            <cx:statistics quartileMethod="exclusive"/>
          </cx:layoutPr>
        </cx:series>
        <cx:series layoutId="boxWhisker" uniqueId="{FC9675ED-58B4-2543-B481-13CC909B8A91}">
          <cx:tx>
            <cx:txData>
              <cx:f>_xlchart.v1.14</cx:f>
              <cx:v>2020-21</cx:v>
            </cx:txData>
          </cx:tx>
          <cx:dataId val="1"/>
          <cx:layoutPr>
            <cx:visibility meanLine="0" meanMarker="1" nonoutliers="1" outliers="1"/>
            <cx:statistics quartileMethod="exclusive"/>
          </cx:layoutPr>
        </cx:series>
        <cx:series layoutId="boxWhisker" uniqueId="{3461E783-DD86-DC4A-AE28-9ADD1AA882A5}">
          <cx:tx>
            <cx:txData>
              <cx:f>_xlchart.v1.16</cx:f>
              <cx:v>2023-24</cx:v>
            </cx:txData>
          </cx:tx>
          <cx:dataId val="2"/>
          <cx:layoutPr>
            <cx:visibility meanLine="0" meanMarker="1" nonoutliers="1" outliers="1"/>
            <cx:statistics quartileMethod="exclusive"/>
          </cx:layoutPr>
        </cx:series>
      </cx:plotAreaRegion>
      <cx:axis id="0" hidden="1">
        <cx:catScaling gapWidth="1.5"/>
        <cx:title>
          <cx:tx>
            <cx:txData>
              <cx:v>Season</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Season</a:t>
              </a:r>
            </a:p>
          </cx:txPr>
        </cx:title>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axis id="1">
        <cx:valScaling/>
        <cx:title>
          <cx:tx>
            <cx:txData>
              <cx:v>Home WP</cx:v>
            </cx:txData>
          </cx:tx>
          <cx:txPr>
            <a:bodyPr spcFirstLastPara="1" vertOverflow="ellipsis" horzOverflow="overflow" wrap="square" lIns="0" tIns="0" rIns="0" bIns="0" anchor="ctr" anchorCtr="1"/>
            <a:lstStyle/>
            <a:p>
              <a:pPr algn="ctr" rtl="0">
                <a:defRPr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r>
                <a:rPr lang="en-US" sz="1000" b="0" i="0" u="none" strike="noStrike" baseline="0">
                  <a:solidFill>
                    <a:sysClr val="windowText" lastClr="000000"/>
                  </a:solidFill>
                  <a:latin typeface="Verdana" panose="020B0604030504040204" pitchFamily="34" charset="0"/>
                  <a:ea typeface="Verdana" panose="020B0604030504040204" pitchFamily="34" charset="0"/>
                  <a:cs typeface="Verdana" panose="020B0604030504040204" pitchFamily="34" charset="0"/>
                </a:rPr>
                <a:t>Home WP</a:t>
              </a:r>
            </a:p>
          </cx:txPr>
        </cx:title>
        <cx:majorGridlines/>
        <cx:majorTickMarks type="out"/>
        <cx:tickLabels/>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axis>
    </cx:plotArea>
    <cx:legend pos="r" align="ctr" overlay="0">
      <cx:txPr>
        <a:bodyPr vertOverflow="overflow" horzOverflow="overflow" wrap="square" lIns="0" tIns="0" rIns="0" bIns="0"/>
        <a:lstStyle/>
        <a:p>
          <a:pPr algn="ctr" rtl="0">
            <a:defRPr sz="1000" b="0" i="0">
              <a:solidFill>
                <a:sysClr val="windowText" lastClr="000000"/>
              </a:solidFill>
              <a:latin typeface="Verdana" panose="020B0604030504040204" pitchFamily="34" charset="0"/>
              <a:ea typeface="Verdana" panose="020B0604030504040204" pitchFamily="34" charset="0"/>
              <a:cs typeface="Verdana" panose="020B0604030504040204" pitchFamily="34" charset="0"/>
            </a:defRPr>
          </a:pPr>
          <a:endParaRPr lang="en-US" sz="1000">
            <a:solidFill>
              <a:sysClr val="windowText" lastClr="000000"/>
            </a:solidFill>
            <a:latin typeface="Verdana" panose="020B0604030504040204" pitchFamily="34" charset="0"/>
            <a:ea typeface="Verdana" panose="020B0604030504040204" pitchFamily="34" charset="0"/>
            <a:cs typeface="Verdana" panose="020B0604030504040204" pitchFamily="34" charset="0"/>
          </a:endParaRPr>
        </a:p>
      </cx:txPr>
    </cx:legend>
  </cx:chart>
  <cx:spPr>
    <a:no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165100</xdr:colOff>
      <xdr:row>4</xdr:row>
      <xdr:rowOff>0</xdr:rowOff>
    </xdr:to>
    <xdr:pic>
      <xdr:nvPicPr>
        <xdr:cNvPr id="42" name="Picture 41" descr="Club Crest">
          <a:extLst>
            <a:ext uri="{FF2B5EF4-FFF2-40B4-BE49-F238E27FC236}">
              <a16:creationId xmlns:a16="http://schemas.microsoft.com/office/drawing/2014/main" id="{3A5FB0B4-310F-65CF-4275-2933DA50B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609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165100</xdr:colOff>
      <xdr:row>5</xdr:row>
      <xdr:rowOff>0</xdr:rowOff>
    </xdr:to>
    <xdr:pic>
      <xdr:nvPicPr>
        <xdr:cNvPr id="43" name="Picture 42" descr="Club Crest">
          <a:extLst>
            <a:ext uri="{FF2B5EF4-FFF2-40B4-BE49-F238E27FC236}">
              <a16:creationId xmlns:a16="http://schemas.microsoft.com/office/drawing/2014/main" id="{D616BCDC-931E-9FA2-2040-D713BC77C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812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165100</xdr:colOff>
      <xdr:row>6</xdr:row>
      <xdr:rowOff>0</xdr:rowOff>
    </xdr:to>
    <xdr:pic>
      <xdr:nvPicPr>
        <xdr:cNvPr id="44" name="Picture 43" descr="Club Crest">
          <a:extLst>
            <a:ext uri="{FF2B5EF4-FFF2-40B4-BE49-F238E27FC236}">
              <a16:creationId xmlns:a16="http://schemas.microsoft.com/office/drawing/2014/main" id="{1BACF346-32D2-E5CC-B929-B2629CD598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0" y="1016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165100</xdr:colOff>
      <xdr:row>7</xdr:row>
      <xdr:rowOff>0</xdr:rowOff>
    </xdr:to>
    <xdr:pic>
      <xdr:nvPicPr>
        <xdr:cNvPr id="45" name="Picture 44" descr="Club Crest">
          <a:extLst>
            <a:ext uri="{FF2B5EF4-FFF2-40B4-BE49-F238E27FC236}">
              <a16:creationId xmlns:a16="http://schemas.microsoft.com/office/drawing/2014/main" id="{82602903-80D0-D32A-1B24-82DF7A5DFCA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000" y="1219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xdr:row>
      <xdr:rowOff>0</xdr:rowOff>
    </xdr:from>
    <xdr:to>
      <xdr:col>1</xdr:col>
      <xdr:colOff>165100</xdr:colOff>
      <xdr:row>8</xdr:row>
      <xdr:rowOff>0</xdr:rowOff>
    </xdr:to>
    <xdr:pic>
      <xdr:nvPicPr>
        <xdr:cNvPr id="46" name="Picture 45" descr="Club Crest">
          <a:extLst>
            <a:ext uri="{FF2B5EF4-FFF2-40B4-BE49-F238E27FC236}">
              <a16:creationId xmlns:a16="http://schemas.microsoft.com/office/drawing/2014/main" id="{5D099EE4-A574-A32E-49A1-2471A9668D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51000" y="1422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xdr:row>
      <xdr:rowOff>0</xdr:rowOff>
    </xdr:from>
    <xdr:to>
      <xdr:col>1</xdr:col>
      <xdr:colOff>165100</xdr:colOff>
      <xdr:row>9</xdr:row>
      <xdr:rowOff>0</xdr:rowOff>
    </xdr:to>
    <xdr:pic>
      <xdr:nvPicPr>
        <xdr:cNvPr id="47" name="Picture 46" descr="Club Crest">
          <a:extLst>
            <a:ext uri="{FF2B5EF4-FFF2-40B4-BE49-F238E27FC236}">
              <a16:creationId xmlns:a16="http://schemas.microsoft.com/office/drawing/2014/main" id="{911BB4F3-3A23-A90B-4DB1-B421A03034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1000" y="1625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165100</xdr:colOff>
      <xdr:row>10</xdr:row>
      <xdr:rowOff>0</xdr:rowOff>
    </xdr:to>
    <xdr:pic>
      <xdr:nvPicPr>
        <xdr:cNvPr id="48" name="Picture 47" descr="Club Crest">
          <a:extLst>
            <a:ext uri="{FF2B5EF4-FFF2-40B4-BE49-F238E27FC236}">
              <a16:creationId xmlns:a16="http://schemas.microsoft.com/office/drawing/2014/main" id="{8C69F9FB-6AA5-784B-F509-C2874DFF6D5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828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165100</xdr:colOff>
      <xdr:row>11</xdr:row>
      <xdr:rowOff>0</xdr:rowOff>
    </xdr:to>
    <xdr:pic>
      <xdr:nvPicPr>
        <xdr:cNvPr id="49" name="Picture 48" descr="Club Crest">
          <a:extLst>
            <a:ext uri="{FF2B5EF4-FFF2-40B4-BE49-F238E27FC236}">
              <a16:creationId xmlns:a16="http://schemas.microsoft.com/office/drawing/2014/main" id="{FE1F3796-6BF4-0FBF-D618-F2580C2E282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51000" y="2032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165100</xdr:colOff>
      <xdr:row>12</xdr:row>
      <xdr:rowOff>0</xdr:rowOff>
    </xdr:to>
    <xdr:pic>
      <xdr:nvPicPr>
        <xdr:cNvPr id="50" name="Picture 49" descr="Club Crest">
          <a:extLst>
            <a:ext uri="{FF2B5EF4-FFF2-40B4-BE49-F238E27FC236}">
              <a16:creationId xmlns:a16="http://schemas.microsoft.com/office/drawing/2014/main" id="{F0EAE2AC-615F-0A47-CA26-03F29E60E2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2235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xdr:row>
      <xdr:rowOff>0</xdr:rowOff>
    </xdr:from>
    <xdr:to>
      <xdr:col>1</xdr:col>
      <xdr:colOff>165100</xdr:colOff>
      <xdr:row>13</xdr:row>
      <xdr:rowOff>0</xdr:rowOff>
    </xdr:to>
    <xdr:pic>
      <xdr:nvPicPr>
        <xdr:cNvPr id="51" name="Picture 50" descr="Club Crest">
          <a:extLst>
            <a:ext uri="{FF2B5EF4-FFF2-40B4-BE49-F238E27FC236}">
              <a16:creationId xmlns:a16="http://schemas.microsoft.com/office/drawing/2014/main" id="{90359E33-BF87-38F0-4328-00D0A841BCA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51000" y="2438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165100</xdr:colOff>
      <xdr:row>14</xdr:row>
      <xdr:rowOff>0</xdr:rowOff>
    </xdr:to>
    <xdr:pic>
      <xdr:nvPicPr>
        <xdr:cNvPr id="52" name="Picture 51" descr="Club Crest">
          <a:extLst>
            <a:ext uri="{FF2B5EF4-FFF2-40B4-BE49-F238E27FC236}">
              <a16:creationId xmlns:a16="http://schemas.microsoft.com/office/drawing/2014/main" id="{13771E94-CAD3-FC94-12BA-46F0C6466CC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51000" y="2641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165100</xdr:colOff>
      <xdr:row>15</xdr:row>
      <xdr:rowOff>0</xdr:rowOff>
    </xdr:to>
    <xdr:pic>
      <xdr:nvPicPr>
        <xdr:cNvPr id="53" name="Picture 52" descr="Club Crest">
          <a:extLst>
            <a:ext uri="{FF2B5EF4-FFF2-40B4-BE49-F238E27FC236}">
              <a16:creationId xmlns:a16="http://schemas.microsoft.com/office/drawing/2014/main" id="{348663E7-CB60-F876-37F5-4C47883FD91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2844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165100</xdr:colOff>
      <xdr:row>16</xdr:row>
      <xdr:rowOff>0</xdr:rowOff>
    </xdr:to>
    <xdr:pic>
      <xdr:nvPicPr>
        <xdr:cNvPr id="54" name="Picture 53" descr="Club Crest">
          <a:extLst>
            <a:ext uri="{FF2B5EF4-FFF2-40B4-BE49-F238E27FC236}">
              <a16:creationId xmlns:a16="http://schemas.microsoft.com/office/drawing/2014/main" id="{12B180EA-C13B-2D00-12CA-88143C9131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3048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165100</xdr:colOff>
      <xdr:row>17</xdr:row>
      <xdr:rowOff>0</xdr:rowOff>
    </xdr:to>
    <xdr:pic>
      <xdr:nvPicPr>
        <xdr:cNvPr id="55" name="Picture 54" descr="Club Crest">
          <a:extLst>
            <a:ext uri="{FF2B5EF4-FFF2-40B4-BE49-F238E27FC236}">
              <a16:creationId xmlns:a16="http://schemas.microsoft.com/office/drawing/2014/main" id="{310C31D4-D078-ACC2-3844-26207E83445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3251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xdr:col>
      <xdr:colOff>165100</xdr:colOff>
      <xdr:row>18</xdr:row>
      <xdr:rowOff>0</xdr:rowOff>
    </xdr:to>
    <xdr:pic>
      <xdr:nvPicPr>
        <xdr:cNvPr id="56" name="Picture 55" descr="Club Crest">
          <a:extLst>
            <a:ext uri="{FF2B5EF4-FFF2-40B4-BE49-F238E27FC236}">
              <a16:creationId xmlns:a16="http://schemas.microsoft.com/office/drawing/2014/main" id="{2C74D2FC-7CF0-550E-8EE2-1E545AB778E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3454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165100</xdr:colOff>
      <xdr:row>19</xdr:row>
      <xdr:rowOff>0</xdr:rowOff>
    </xdr:to>
    <xdr:pic>
      <xdr:nvPicPr>
        <xdr:cNvPr id="57" name="Picture 56" descr="Club Crest">
          <a:extLst>
            <a:ext uri="{FF2B5EF4-FFF2-40B4-BE49-F238E27FC236}">
              <a16:creationId xmlns:a16="http://schemas.microsoft.com/office/drawing/2014/main" id="{FB1AEF8D-5F31-FEE7-02FC-C5950DF3C2D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1000" y="3657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xdr:col>
      <xdr:colOff>165100</xdr:colOff>
      <xdr:row>20</xdr:row>
      <xdr:rowOff>0</xdr:rowOff>
    </xdr:to>
    <xdr:pic>
      <xdr:nvPicPr>
        <xdr:cNvPr id="58" name="Picture 57" descr="Club Crest">
          <a:extLst>
            <a:ext uri="{FF2B5EF4-FFF2-40B4-BE49-F238E27FC236}">
              <a16:creationId xmlns:a16="http://schemas.microsoft.com/office/drawing/2014/main" id="{60F669B5-20A2-922E-AA70-CB41B94B22F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3860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xdr:row>
      <xdr:rowOff>0</xdr:rowOff>
    </xdr:from>
    <xdr:to>
      <xdr:col>1</xdr:col>
      <xdr:colOff>165100</xdr:colOff>
      <xdr:row>21</xdr:row>
      <xdr:rowOff>0</xdr:rowOff>
    </xdr:to>
    <xdr:pic>
      <xdr:nvPicPr>
        <xdr:cNvPr id="59" name="Picture 58" descr="Club Crest">
          <a:extLst>
            <a:ext uri="{FF2B5EF4-FFF2-40B4-BE49-F238E27FC236}">
              <a16:creationId xmlns:a16="http://schemas.microsoft.com/office/drawing/2014/main" id="{4E92BD89-1403-04C9-AA6D-5DAE18E0A93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651000" y="4064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165100</xdr:colOff>
      <xdr:row>22</xdr:row>
      <xdr:rowOff>0</xdr:rowOff>
    </xdr:to>
    <xdr:pic>
      <xdr:nvPicPr>
        <xdr:cNvPr id="60" name="Picture 59" descr="Club Crest">
          <a:extLst>
            <a:ext uri="{FF2B5EF4-FFF2-40B4-BE49-F238E27FC236}">
              <a16:creationId xmlns:a16="http://schemas.microsoft.com/office/drawing/2014/main" id="{AE7C3015-B3EF-303F-BAC1-AA48AC25EAC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4267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xdr:row>
      <xdr:rowOff>0</xdr:rowOff>
    </xdr:from>
    <xdr:to>
      <xdr:col>1</xdr:col>
      <xdr:colOff>165100</xdr:colOff>
      <xdr:row>23</xdr:row>
      <xdr:rowOff>0</xdr:rowOff>
    </xdr:to>
    <xdr:pic>
      <xdr:nvPicPr>
        <xdr:cNvPr id="61" name="Picture 60" descr="Club Crest">
          <a:extLst>
            <a:ext uri="{FF2B5EF4-FFF2-40B4-BE49-F238E27FC236}">
              <a16:creationId xmlns:a16="http://schemas.microsoft.com/office/drawing/2014/main" id="{CF8F8776-8165-94C6-F1A8-C43D7F5A0E05}"/>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4470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xdr:row>
      <xdr:rowOff>0</xdr:rowOff>
    </xdr:from>
    <xdr:to>
      <xdr:col>1</xdr:col>
      <xdr:colOff>165100</xdr:colOff>
      <xdr:row>27</xdr:row>
      <xdr:rowOff>0</xdr:rowOff>
    </xdr:to>
    <xdr:pic>
      <xdr:nvPicPr>
        <xdr:cNvPr id="62" name="Picture 61" descr="Club Crest">
          <a:extLst>
            <a:ext uri="{FF2B5EF4-FFF2-40B4-BE49-F238E27FC236}">
              <a16:creationId xmlns:a16="http://schemas.microsoft.com/office/drawing/2014/main" id="{D95E3CFE-4154-5314-1A24-8F225A2BB1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9956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xdr:row>
      <xdr:rowOff>0</xdr:rowOff>
    </xdr:from>
    <xdr:to>
      <xdr:col>1</xdr:col>
      <xdr:colOff>165100</xdr:colOff>
      <xdr:row>28</xdr:row>
      <xdr:rowOff>0</xdr:rowOff>
    </xdr:to>
    <xdr:pic>
      <xdr:nvPicPr>
        <xdr:cNvPr id="63" name="Picture 62" descr="Club Crest">
          <a:extLst>
            <a:ext uri="{FF2B5EF4-FFF2-40B4-BE49-F238E27FC236}">
              <a16:creationId xmlns:a16="http://schemas.microsoft.com/office/drawing/2014/main" id="{805723F2-45A1-A592-E6EC-59AF419226F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1000" y="10160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165100</xdr:colOff>
      <xdr:row>29</xdr:row>
      <xdr:rowOff>0</xdr:rowOff>
    </xdr:to>
    <xdr:pic>
      <xdr:nvPicPr>
        <xdr:cNvPr id="64" name="Picture 63" descr="Club Crest">
          <a:extLst>
            <a:ext uri="{FF2B5EF4-FFF2-40B4-BE49-F238E27FC236}">
              <a16:creationId xmlns:a16="http://schemas.microsoft.com/office/drawing/2014/main" id="{7070F369-9403-AC67-DF53-E987395424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0" y="10363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0</xdr:rowOff>
    </xdr:from>
    <xdr:to>
      <xdr:col>1</xdr:col>
      <xdr:colOff>165100</xdr:colOff>
      <xdr:row>30</xdr:row>
      <xdr:rowOff>0</xdr:rowOff>
    </xdr:to>
    <xdr:pic>
      <xdr:nvPicPr>
        <xdr:cNvPr id="65" name="Picture 64" descr="Club Crest">
          <a:extLst>
            <a:ext uri="{FF2B5EF4-FFF2-40B4-BE49-F238E27FC236}">
              <a16:creationId xmlns:a16="http://schemas.microsoft.com/office/drawing/2014/main" id="{1E391EEC-5044-A2D3-F222-DB998D3AC27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000" y="10566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xdr:row>
      <xdr:rowOff>0</xdr:rowOff>
    </xdr:from>
    <xdr:to>
      <xdr:col>1</xdr:col>
      <xdr:colOff>165100</xdr:colOff>
      <xdr:row>31</xdr:row>
      <xdr:rowOff>0</xdr:rowOff>
    </xdr:to>
    <xdr:pic>
      <xdr:nvPicPr>
        <xdr:cNvPr id="66" name="Picture 65" descr="Club Crest">
          <a:extLst>
            <a:ext uri="{FF2B5EF4-FFF2-40B4-BE49-F238E27FC236}">
              <a16:creationId xmlns:a16="http://schemas.microsoft.com/office/drawing/2014/main" id="{3C1AD0CE-9B8D-92E5-542C-C2747CB9286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1000" y="10769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xdr:col>
      <xdr:colOff>165100</xdr:colOff>
      <xdr:row>32</xdr:row>
      <xdr:rowOff>0</xdr:rowOff>
    </xdr:to>
    <xdr:pic>
      <xdr:nvPicPr>
        <xdr:cNvPr id="67" name="Picture 66" descr="Club Crest">
          <a:extLst>
            <a:ext uri="{FF2B5EF4-FFF2-40B4-BE49-F238E27FC236}">
              <a16:creationId xmlns:a16="http://schemas.microsoft.com/office/drawing/2014/main" id="{20BA202A-B347-B246-A15E-C00009A3710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0972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xdr:row>
      <xdr:rowOff>0</xdr:rowOff>
    </xdr:from>
    <xdr:to>
      <xdr:col>1</xdr:col>
      <xdr:colOff>165100</xdr:colOff>
      <xdr:row>33</xdr:row>
      <xdr:rowOff>0</xdr:rowOff>
    </xdr:to>
    <xdr:pic>
      <xdr:nvPicPr>
        <xdr:cNvPr id="68" name="Picture 67" descr="Club Crest">
          <a:extLst>
            <a:ext uri="{FF2B5EF4-FFF2-40B4-BE49-F238E27FC236}">
              <a16:creationId xmlns:a16="http://schemas.microsoft.com/office/drawing/2014/main" id="{E6548EFC-7E67-BCA7-C003-CDFEA6921D7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51000" y="11176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xdr:col>
      <xdr:colOff>165100</xdr:colOff>
      <xdr:row>34</xdr:row>
      <xdr:rowOff>0</xdr:rowOff>
    </xdr:to>
    <xdr:pic>
      <xdr:nvPicPr>
        <xdr:cNvPr id="69" name="Picture 68" descr="Club Crest">
          <a:extLst>
            <a:ext uri="{FF2B5EF4-FFF2-40B4-BE49-F238E27FC236}">
              <a16:creationId xmlns:a16="http://schemas.microsoft.com/office/drawing/2014/main" id="{9D9B0E44-C663-AEAB-CC7D-6E32C69E3E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11379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xdr:row>
      <xdr:rowOff>0</xdr:rowOff>
    </xdr:from>
    <xdr:to>
      <xdr:col>1</xdr:col>
      <xdr:colOff>165100</xdr:colOff>
      <xdr:row>35</xdr:row>
      <xdr:rowOff>0</xdr:rowOff>
    </xdr:to>
    <xdr:pic>
      <xdr:nvPicPr>
        <xdr:cNvPr id="70" name="Picture 69" descr="Club Crest">
          <a:extLst>
            <a:ext uri="{FF2B5EF4-FFF2-40B4-BE49-F238E27FC236}">
              <a16:creationId xmlns:a16="http://schemas.microsoft.com/office/drawing/2014/main" id="{CB9E5419-B9A0-0B15-C276-5F56B306313F}"/>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651000" y="11582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1</xdr:col>
      <xdr:colOff>165100</xdr:colOff>
      <xdr:row>36</xdr:row>
      <xdr:rowOff>0</xdr:rowOff>
    </xdr:to>
    <xdr:pic>
      <xdr:nvPicPr>
        <xdr:cNvPr id="71" name="Picture 70" descr="Club Crest">
          <a:extLst>
            <a:ext uri="{FF2B5EF4-FFF2-40B4-BE49-F238E27FC236}">
              <a16:creationId xmlns:a16="http://schemas.microsoft.com/office/drawing/2014/main" id="{6E8EBCF2-1073-82D6-56D9-9C98E89C290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51000" y="11785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36</xdr:row>
      <xdr:rowOff>0</xdr:rowOff>
    </xdr:from>
    <xdr:to>
      <xdr:col>1</xdr:col>
      <xdr:colOff>165100</xdr:colOff>
      <xdr:row>37</xdr:row>
      <xdr:rowOff>0</xdr:rowOff>
    </xdr:to>
    <xdr:pic>
      <xdr:nvPicPr>
        <xdr:cNvPr id="72" name="Picture 71" descr="Club Crest">
          <a:extLst>
            <a:ext uri="{FF2B5EF4-FFF2-40B4-BE49-F238E27FC236}">
              <a16:creationId xmlns:a16="http://schemas.microsoft.com/office/drawing/2014/main" id="{BC2C61F3-6EA4-7257-129C-74B62613369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11988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xdr:row>
      <xdr:rowOff>0</xdr:rowOff>
    </xdr:from>
    <xdr:to>
      <xdr:col>1</xdr:col>
      <xdr:colOff>165100</xdr:colOff>
      <xdr:row>38</xdr:row>
      <xdr:rowOff>0</xdr:rowOff>
    </xdr:to>
    <xdr:pic>
      <xdr:nvPicPr>
        <xdr:cNvPr id="73" name="Picture 72" descr="Club Crest">
          <a:extLst>
            <a:ext uri="{FF2B5EF4-FFF2-40B4-BE49-F238E27FC236}">
              <a16:creationId xmlns:a16="http://schemas.microsoft.com/office/drawing/2014/main" id="{68ED072D-F05C-2E98-7974-2A2FDB19D02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12192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1</xdr:col>
      <xdr:colOff>165100</xdr:colOff>
      <xdr:row>39</xdr:row>
      <xdr:rowOff>0</xdr:rowOff>
    </xdr:to>
    <xdr:pic>
      <xdr:nvPicPr>
        <xdr:cNvPr id="74" name="Picture 73" descr="Club Crest">
          <a:extLst>
            <a:ext uri="{FF2B5EF4-FFF2-40B4-BE49-F238E27FC236}">
              <a16:creationId xmlns:a16="http://schemas.microsoft.com/office/drawing/2014/main" id="{9DEA249F-E851-E755-CAE0-1041BF1DBD3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12395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xdr:row>
      <xdr:rowOff>0</xdr:rowOff>
    </xdr:from>
    <xdr:to>
      <xdr:col>1</xdr:col>
      <xdr:colOff>165100</xdr:colOff>
      <xdr:row>40</xdr:row>
      <xdr:rowOff>0</xdr:rowOff>
    </xdr:to>
    <xdr:pic>
      <xdr:nvPicPr>
        <xdr:cNvPr id="75" name="Picture 74" descr="Club Crest">
          <a:extLst>
            <a:ext uri="{FF2B5EF4-FFF2-40B4-BE49-F238E27FC236}">
              <a16:creationId xmlns:a16="http://schemas.microsoft.com/office/drawing/2014/main" id="{61CFE685-1E97-71FB-8C70-35805232B964}"/>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12598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1</xdr:col>
      <xdr:colOff>165100</xdr:colOff>
      <xdr:row>41</xdr:row>
      <xdr:rowOff>0</xdr:rowOff>
    </xdr:to>
    <xdr:pic>
      <xdr:nvPicPr>
        <xdr:cNvPr id="76" name="Picture 75" descr="Club Crest">
          <a:extLst>
            <a:ext uri="{FF2B5EF4-FFF2-40B4-BE49-F238E27FC236}">
              <a16:creationId xmlns:a16="http://schemas.microsoft.com/office/drawing/2014/main" id="{00D8A127-5C59-3A07-EF06-196C4FD5699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0" y="12801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165100</xdr:colOff>
      <xdr:row>42</xdr:row>
      <xdr:rowOff>0</xdr:rowOff>
    </xdr:to>
    <xdr:pic>
      <xdr:nvPicPr>
        <xdr:cNvPr id="77" name="Picture 76" descr="Club Crest">
          <a:extLst>
            <a:ext uri="{FF2B5EF4-FFF2-40B4-BE49-F238E27FC236}">
              <a16:creationId xmlns:a16="http://schemas.microsoft.com/office/drawing/2014/main" id="{E1C66349-4CA7-A0A6-2354-84D480F6276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1000" y="13004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xdr:row>
      <xdr:rowOff>0</xdr:rowOff>
    </xdr:from>
    <xdr:to>
      <xdr:col>1</xdr:col>
      <xdr:colOff>165100</xdr:colOff>
      <xdr:row>43</xdr:row>
      <xdr:rowOff>0</xdr:rowOff>
    </xdr:to>
    <xdr:pic>
      <xdr:nvPicPr>
        <xdr:cNvPr id="78" name="Picture 77" descr="Club Crest">
          <a:extLst>
            <a:ext uri="{FF2B5EF4-FFF2-40B4-BE49-F238E27FC236}">
              <a16:creationId xmlns:a16="http://schemas.microsoft.com/office/drawing/2014/main" id="{9F8040A9-7716-D4D2-9793-01C408FE7AF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13208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165100</xdr:colOff>
      <xdr:row>44</xdr:row>
      <xdr:rowOff>0</xdr:rowOff>
    </xdr:to>
    <xdr:pic>
      <xdr:nvPicPr>
        <xdr:cNvPr id="79" name="Picture 78" descr="Club Crest">
          <a:extLst>
            <a:ext uri="{FF2B5EF4-FFF2-40B4-BE49-F238E27FC236}">
              <a16:creationId xmlns:a16="http://schemas.microsoft.com/office/drawing/2014/main" id="{FD88618C-D631-1108-FBAA-3761E1BC861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51000" y="13411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165100</xdr:colOff>
      <xdr:row>45</xdr:row>
      <xdr:rowOff>0</xdr:rowOff>
    </xdr:to>
    <xdr:pic>
      <xdr:nvPicPr>
        <xdr:cNvPr id="80" name="Picture 79" descr="Club Crest">
          <a:extLst>
            <a:ext uri="{FF2B5EF4-FFF2-40B4-BE49-F238E27FC236}">
              <a16:creationId xmlns:a16="http://schemas.microsoft.com/office/drawing/2014/main" id="{CC2E7E5A-9566-5BE2-A364-F8DAF130B4B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13614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165100</xdr:colOff>
      <xdr:row>46</xdr:row>
      <xdr:rowOff>0</xdr:rowOff>
    </xdr:to>
    <xdr:pic>
      <xdr:nvPicPr>
        <xdr:cNvPr id="81" name="Picture 80" descr="Club Crest">
          <a:extLst>
            <a:ext uri="{FF2B5EF4-FFF2-40B4-BE49-F238E27FC236}">
              <a16:creationId xmlns:a16="http://schemas.microsoft.com/office/drawing/2014/main" id="{A24E87E6-29C7-B7EA-D3F4-EECC9B212E58}"/>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13817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165100</xdr:colOff>
      <xdr:row>50</xdr:row>
      <xdr:rowOff>0</xdr:rowOff>
    </xdr:to>
    <xdr:pic>
      <xdr:nvPicPr>
        <xdr:cNvPr id="102" name="Picture 101" descr="Club Crest">
          <a:extLst>
            <a:ext uri="{FF2B5EF4-FFF2-40B4-BE49-F238E27FC236}">
              <a16:creationId xmlns:a16="http://schemas.microsoft.com/office/drawing/2014/main" id="{F7C7C5D1-3767-30B5-D5C0-4D00D8B3F6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9956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165100</xdr:colOff>
      <xdr:row>51</xdr:row>
      <xdr:rowOff>0</xdr:rowOff>
    </xdr:to>
    <xdr:pic>
      <xdr:nvPicPr>
        <xdr:cNvPr id="103" name="Picture 102" descr="Club Crest">
          <a:extLst>
            <a:ext uri="{FF2B5EF4-FFF2-40B4-BE49-F238E27FC236}">
              <a16:creationId xmlns:a16="http://schemas.microsoft.com/office/drawing/2014/main" id="{1ADA0070-9A60-2CA4-903E-303A003D7C5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1000" y="10160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1</xdr:col>
      <xdr:colOff>165100</xdr:colOff>
      <xdr:row>52</xdr:row>
      <xdr:rowOff>0</xdr:rowOff>
    </xdr:to>
    <xdr:pic>
      <xdr:nvPicPr>
        <xdr:cNvPr id="104" name="Picture 103" descr="Club Crest">
          <a:extLst>
            <a:ext uri="{FF2B5EF4-FFF2-40B4-BE49-F238E27FC236}">
              <a16:creationId xmlns:a16="http://schemas.microsoft.com/office/drawing/2014/main" id="{5323A9C0-155D-135E-F746-C72ACE95BE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10363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165100</xdr:colOff>
      <xdr:row>53</xdr:row>
      <xdr:rowOff>0</xdr:rowOff>
    </xdr:to>
    <xdr:pic>
      <xdr:nvPicPr>
        <xdr:cNvPr id="105" name="Picture 104" descr="Club Crest">
          <a:extLst>
            <a:ext uri="{FF2B5EF4-FFF2-40B4-BE49-F238E27FC236}">
              <a16:creationId xmlns:a16="http://schemas.microsoft.com/office/drawing/2014/main" id="{AEDB9476-F052-F1EB-2BF8-154EF01C5D7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51000" y="10566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165100</xdr:colOff>
      <xdr:row>54</xdr:row>
      <xdr:rowOff>0</xdr:rowOff>
    </xdr:to>
    <xdr:pic>
      <xdr:nvPicPr>
        <xdr:cNvPr id="106" name="Picture 105" descr="Club Crest">
          <a:extLst>
            <a:ext uri="{FF2B5EF4-FFF2-40B4-BE49-F238E27FC236}">
              <a16:creationId xmlns:a16="http://schemas.microsoft.com/office/drawing/2014/main" id="{33785BC7-3885-526D-7638-6F003C5D37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0" y="10769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165100</xdr:colOff>
      <xdr:row>55</xdr:row>
      <xdr:rowOff>0</xdr:rowOff>
    </xdr:to>
    <xdr:pic>
      <xdr:nvPicPr>
        <xdr:cNvPr id="107" name="Picture 106" descr="Club Crest">
          <a:extLst>
            <a:ext uri="{FF2B5EF4-FFF2-40B4-BE49-F238E27FC236}">
              <a16:creationId xmlns:a16="http://schemas.microsoft.com/office/drawing/2014/main" id="{FB2978B7-CF2A-823E-50B2-F646E94CAA0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000" y="10972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165100</xdr:colOff>
      <xdr:row>56</xdr:row>
      <xdr:rowOff>0</xdr:rowOff>
    </xdr:to>
    <xdr:pic>
      <xdr:nvPicPr>
        <xdr:cNvPr id="108" name="Picture 107" descr="Club Crest">
          <a:extLst>
            <a:ext uri="{FF2B5EF4-FFF2-40B4-BE49-F238E27FC236}">
              <a16:creationId xmlns:a16="http://schemas.microsoft.com/office/drawing/2014/main" id="{1B1FE5F7-D0DB-5FB6-F887-271536F8B41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1000" y="11176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165100</xdr:colOff>
      <xdr:row>57</xdr:row>
      <xdr:rowOff>0</xdr:rowOff>
    </xdr:to>
    <xdr:pic>
      <xdr:nvPicPr>
        <xdr:cNvPr id="109" name="Picture 108" descr="Club Crest">
          <a:extLst>
            <a:ext uri="{FF2B5EF4-FFF2-40B4-BE49-F238E27FC236}">
              <a16:creationId xmlns:a16="http://schemas.microsoft.com/office/drawing/2014/main" id="{60C9D2E9-65AF-678A-D984-8B326930D8A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11379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165100</xdr:colOff>
      <xdr:row>58</xdr:row>
      <xdr:rowOff>0</xdr:rowOff>
    </xdr:to>
    <xdr:pic>
      <xdr:nvPicPr>
        <xdr:cNvPr id="110" name="Picture 109" descr="Club Crest">
          <a:extLst>
            <a:ext uri="{FF2B5EF4-FFF2-40B4-BE49-F238E27FC236}">
              <a16:creationId xmlns:a16="http://schemas.microsoft.com/office/drawing/2014/main" id="{2F3DC0CE-43D8-9A80-E7DC-1966F915DBE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51000" y="11582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165100</xdr:colOff>
      <xdr:row>59</xdr:row>
      <xdr:rowOff>0</xdr:rowOff>
    </xdr:to>
    <xdr:pic>
      <xdr:nvPicPr>
        <xdr:cNvPr id="111" name="Picture 110" descr="Club Crest">
          <a:extLst>
            <a:ext uri="{FF2B5EF4-FFF2-40B4-BE49-F238E27FC236}">
              <a16:creationId xmlns:a16="http://schemas.microsoft.com/office/drawing/2014/main" id="{5C4F0CED-AA2D-33DA-1C0F-275B0E80224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11785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xdr:row>
      <xdr:rowOff>0</xdr:rowOff>
    </xdr:from>
    <xdr:to>
      <xdr:col>1</xdr:col>
      <xdr:colOff>165100</xdr:colOff>
      <xdr:row>60</xdr:row>
      <xdr:rowOff>0</xdr:rowOff>
    </xdr:to>
    <xdr:pic>
      <xdr:nvPicPr>
        <xdr:cNvPr id="112" name="Picture 111" descr="Club Crest">
          <a:extLst>
            <a:ext uri="{FF2B5EF4-FFF2-40B4-BE49-F238E27FC236}">
              <a16:creationId xmlns:a16="http://schemas.microsoft.com/office/drawing/2014/main" id="{3C4B9511-3600-1267-FA73-A00AC1CDFF7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11988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165100</xdr:colOff>
      <xdr:row>61</xdr:row>
      <xdr:rowOff>0</xdr:rowOff>
    </xdr:to>
    <xdr:pic>
      <xdr:nvPicPr>
        <xdr:cNvPr id="113" name="Picture 112" descr="Club Crest">
          <a:extLst>
            <a:ext uri="{FF2B5EF4-FFF2-40B4-BE49-F238E27FC236}">
              <a16:creationId xmlns:a16="http://schemas.microsoft.com/office/drawing/2014/main" id="{D1292A5B-1FF4-CAD7-6935-E0E7ADAFF734}"/>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651000" y="12192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61</xdr:row>
      <xdr:rowOff>0</xdr:rowOff>
    </xdr:from>
    <xdr:to>
      <xdr:col>1</xdr:col>
      <xdr:colOff>165100</xdr:colOff>
      <xdr:row>62</xdr:row>
      <xdr:rowOff>0</xdr:rowOff>
    </xdr:to>
    <xdr:pic>
      <xdr:nvPicPr>
        <xdr:cNvPr id="114" name="Picture 113" descr="Club Crest">
          <a:extLst>
            <a:ext uri="{FF2B5EF4-FFF2-40B4-BE49-F238E27FC236}">
              <a16:creationId xmlns:a16="http://schemas.microsoft.com/office/drawing/2014/main" id="{C5C33A3E-D7D4-F2D9-04CC-DA0175CE5F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12395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165100</xdr:colOff>
      <xdr:row>63</xdr:row>
      <xdr:rowOff>0</xdr:rowOff>
    </xdr:to>
    <xdr:pic>
      <xdr:nvPicPr>
        <xdr:cNvPr id="115" name="Picture 114" descr="Club Crest">
          <a:extLst>
            <a:ext uri="{FF2B5EF4-FFF2-40B4-BE49-F238E27FC236}">
              <a16:creationId xmlns:a16="http://schemas.microsoft.com/office/drawing/2014/main" id="{C12ADB92-1656-BD62-F4F4-210184ECC9FD}"/>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12598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165100</xdr:colOff>
      <xdr:row>64</xdr:row>
      <xdr:rowOff>0</xdr:rowOff>
    </xdr:to>
    <xdr:pic>
      <xdr:nvPicPr>
        <xdr:cNvPr id="116" name="Picture 115" descr="Club Crest">
          <a:extLst>
            <a:ext uri="{FF2B5EF4-FFF2-40B4-BE49-F238E27FC236}">
              <a16:creationId xmlns:a16="http://schemas.microsoft.com/office/drawing/2014/main" id="{1EE4B5C0-6590-5437-6C80-FA142CD8ABE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12801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165100</xdr:colOff>
      <xdr:row>65</xdr:row>
      <xdr:rowOff>0</xdr:rowOff>
    </xdr:to>
    <xdr:pic>
      <xdr:nvPicPr>
        <xdr:cNvPr id="117" name="Picture 116" descr="Club Crest">
          <a:extLst>
            <a:ext uri="{FF2B5EF4-FFF2-40B4-BE49-F238E27FC236}">
              <a16:creationId xmlns:a16="http://schemas.microsoft.com/office/drawing/2014/main" id="{741816EB-500A-D673-618C-1BE7A64A6C5D}"/>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51000" y="130048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165100</xdr:colOff>
      <xdr:row>66</xdr:row>
      <xdr:rowOff>0</xdr:rowOff>
    </xdr:to>
    <xdr:pic>
      <xdr:nvPicPr>
        <xdr:cNvPr id="118" name="Picture 117" descr="Club Crest">
          <a:extLst>
            <a:ext uri="{FF2B5EF4-FFF2-40B4-BE49-F238E27FC236}">
              <a16:creationId xmlns:a16="http://schemas.microsoft.com/office/drawing/2014/main" id="{D007F859-921A-3E6C-CDDD-B9836BC63ACB}"/>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0" y="132080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165100</xdr:colOff>
      <xdr:row>67</xdr:row>
      <xdr:rowOff>0</xdr:rowOff>
    </xdr:to>
    <xdr:pic>
      <xdr:nvPicPr>
        <xdr:cNvPr id="119" name="Picture 118" descr="Club Crest">
          <a:extLst>
            <a:ext uri="{FF2B5EF4-FFF2-40B4-BE49-F238E27FC236}">
              <a16:creationId xmlns:a16="http://schemas.microsoft.com/office/drawing/2014/main" id="{11C83A8F-E65F-4CCE-0291-CE9C613054C7}"/>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134112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165100</xdr:colOff>
      <xdr:row>68</xdr:row>
      <xdr:rowOff>0</xdr:rowOff>
    </xdr:to>
    <xdr:pic>
      <xdr:nvPicPr>
        <xdr:cNvPr id="120" name="Picture 119" descr="Club Crest">
          <a:extLst>
            <a:ext uri="{FF2B5EF4-FFF2-40B4-BE49-F238E27FC236}">
              <a16:creationId xmlns:a16="http://schemas.microsoft.com/office/drawing/2014/main" id="{3460EB8A-AF1E-0AA7-8919-3F3514510BB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136144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165100</xdr:colOff>
      <xdr:row>69</xdr:row>
      <xdr:rowOff>0</xdr:rowOff>
    </xdr:to>
    <xdr:pic>
      <xdr:nvPicPr>
        <xdr:cNvPr id="121" name="Picture 120" descr="Club Crest">
          <a:extLst>
            <a:ext uri="{FF2B5EF4-FFF2-40B4-BE49-F238E27FC236}">
              <a16:creationId xmlns:a16="http://schemas.microsoft.com/office/drawing/2014/main" id="{44F85459-1A20-F37D-0BAB-5F99728D38F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1381760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25556</xdr:colOff>
      <xdr:row>20</xdr:row>
      <xdr:rowOff>18021</xdr:rowOff>
    </xdr:from>
    <xdr:to>
      <xdr:col>3</xdr:col>
      <xdr:colOff>1414089</xdr:colOff>
      <xdr:row>33</xdr:row>
      <xdr:rowOff>119621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F4CE55F-A86B-B748-9E2A-D541170101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1056" y="4082021"/>
              <a:ext cx="524933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30993</xdr:colOff>
      <xdr:row>20</xdr:row>
      <xdr:rowOff>7458</xdr:rowOff>
    </xdr:from>
    <xdr:to>
      <xdr:col>7</xdr:col>
      <xdr:colOff>1419527</xdr:colOff>
      <xdr:row>33</xdr:row>
      <xdr:rowOff>109058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7EC98F-9FBF-3A49-85AA-5211AFD0F1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78093" y="4071458"/>
              <a:ext cx="524933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33199</xdr:colOff>
      <xdr:row>20</xdr:row>
      <xdr:rowOff>25194</xdr:rowOff>
    </xdr:from>
    <xdr:to>
      <xdr:col>11</xdr:col>
      <xdr:colOff>1421732</xdr:colOff>
      <xdr:row>33</xdr:row>
      <xdr:rowOff>131379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0D34E59-2209-7041-AA48-F451401145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301899" y="4089194"/>
              <a:ext cx="5249333" cy="27477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20334</xdr:colOff>
      <xdr:row>55</xdr:row>
      <xdr:rowOff>25788</xdr:rowOff>
    </xdr:from>
    <xdr:to>
      <xdr:col>4</xdr:col>
      <xdr:colOff>1876778</xdr:colOff>
      <xdr:row>75</xdr:row>
      <xdr:rowOff>70555</xdr:rowOff>
    </xdr:to>
    <xdr:graphicFrame macro="">
      <xdr:nvGraphicFramePr>
        <xdr:cNvPr id="5" name="Chart 4">
          <a:extLst>
            <a:ext uri="{FF2B5EF4-FFF2-40B4-BE49-F238E27FC236}">
              <a16:creationId xmlns:a16="http://schemas.microsoft.com/office/drawing/2014/main" id="{59E3A6FA-333C-B642-A64E-8D6C379BC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44449</xdr:colOff>
      <xdr:row>55</xdr:row>
      <xdr:rowOff>22215</xdr:rowOff>
    </xdr:from>
    <xdr:to>
      <xdr:col>10</xdr:col>
      <xdr:colOff>1025443</xdr:colOff>
      <xdr:row>73</xdr:row>
      <xdr:rowOff>174616</xdr:rowOff>
    </xdr:to>
    <xdr:graphicFrame macro="">
      <xdr:nvGraphicFramePr>
        <xdr:cNvPr id="6" name="Chart 5">
          <a:extLst>
            <a:ext uri="{FF2B5EF4-FFF2-40B4-BE49-F238E27FC236}">
              <a16:creationId xmlns:a16="http://schemas.microsoft.com/office/drawing/2014/main" id="{EEC46293-C453-E84D-A5C4-100E17B70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28249</xdr:colOff>
      <xdr:row>52</xdr:row>
      <xdr:rowOff>23904</xdr:rowOff>
    </xdr:from>
    <xdr:to>
      <xdr:col>15</xdr:col>
      <xdr:colOff>0</xdr:colOff>
      <xdr:row>71</xdr:row>
      <xdr:rowOff>118904</xdr:rowOff>
    </xdr:to>
    <xdr:graphicFrame macro="">
      <xdr:nvGraphicFramePr>
        <xdr:cNvPr id="7" name="Chart 6">
          <a:extLst>
            <a:ext uri="{FF2B5EF4-FFF2-40B4-BE49-F238E27FC236}">
              <a16:creationId xmlns:a16="http://schemas.microsoft.com/office/drawing/2014/main" id="{F078E0CB-61E0-7646-8921-8F6430334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27022</xdr:colOff>
      <xdr:row>3</xdr:row>
      <xdr:rowOff>6755</xdr:rowOff>
    </xdr:from>
    <xdr:to>
      <xdr:col>6</xdr:col>
      <xdr:colOff>462335</xdr:colOff>
      <xdr:row>16</xdr:row>
      <xdr:rowOff>101330</xdr:rowOff>
    </xdr:to>
    <xdr:graphicFrame macro="">
      <xdr:nvGraphicFramePr>
        <xdr:cNvPr id="2" name="Chart 1">
          <a:extLst>
            <a:ext uri="{FF2B5EF4-FFF2-40B4-BE49-F238E27FC236}">
              <a16:creationId xmlns:a16="http://schemas.microsoft.com/office/drawing/2014/main" id="{208A20CF-5626-BB40-8BB1-96DAD087D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enniferfajardo/Desktop/MBA/DATA/DATASET%20LL%20+PL.xlsx" TargetMode="External"/><Relationship Id="rId1" Type="http://schemas.openxmlformats.org/officeDocument/2006/relationships/externalLinkPath" Target="DATASET%20LL%20+P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Clean Data LL"/>
      <sheetName val="Clean Data PL"/>
      <sheetName val="EDA LL"/>
      <sheetName val="EDA PL"/>
      <sheetName val="Data Dictionary"/>
    </sheetNames>
    <sheetDataSet>
      <sheetData sheetId="0"/>
      <sheetData sheetId="1"/>
      <sheetData sheetId="2">
        <row r="8">
          <cell r="H8">
            <v>26</v>
          </cell>
          <cell r="I8">
            <v>-4</v>
          </cell>
          <cell r="P8">
            <v>3</v>
          </cell>
          <cell r="Q8">
            <v>13</v>
          </cell>
          <cell r="X8">
            <v>32</v>
          </cell>
          <cell r="Y8">
            <v>30</v>
          </cell>
        </row>
        <row r="9">
          <cell r="H9">
            <v>-9</v>
          </cell>
          <cell r="I9">
            <v>-16</v>
          </cell>
          <cell r="P9">
            <v>0</v>
          </cell>
          <cell r="Q9">
            <v>-6</v>
          </cell>
          <cell r="X9">
            <v>3</v>
          </cell>
          <cell r="Y9">
            <v>-10</v>
          </cell>
        </row>
        <row r="10">
          <cell r="H10">
            <v>-8</v>
          </cell>
          <cell r="I10">
            <v>-15</v>
          </cell>
          <cell r="P10">
            <v>-13</v>
          </cell>
          <cell r="Q10">
            <v>-9</v>
          </cell>
          <cell r="X10">
            <v>-24</v>
          </cell>
          <cell r="Y10">
            <v>-13</v>
          </cell>
        </row>
        <row r="11">
          <cell r="H11">
            <v>27</v>
          </cell>
          <cell r="I11">
            <v>-3</v>
          </cell>
          <cell r="P11">
            <v>13</v>
          </cell>
          <cell r="Q11">
            <v>9</v>
          </cell>
          <cell r="X11">
            <v>18</v>
          </cell>
          <cell r="Y11">
            <v>-4</v>
          </cell>
        </row>
        <row r="12">
          <cell r="H12">
            <v>-4</v>
          </cell>
          <cell r="I12">
            <v>2</v>
          </cell>
          <cell r="P12">
            <v>-12</v>
          </cell>
          <cell r="Q12">
            <v>-13</v>
          </cell>
          <cell r="X12">
            <v>11</v>
          </cell>
          <cell r="Y12">
            <v>-12</v>
          </cell>
        </row>
        <row r="13">
          <cell r="H13">
            <v>9</v>
          </cell>
          <cell r="I13">
            <v>-1</v>
          </cell>
          <cell r="P13">
            <v>-4</v>
          </cell>
          <cell r="Q13">
            <v>3</v>
          </cell>
          <cell r="X13">
            <v>4</v>
          </cell>
          <cell r="Y13">
            <v>-15</v>
          </cell>
        </row>
        <row r="14">
          <cell r="H14">
            <v>-14</v>
          </cell>
          <cell r="I14">
            <v>-33</v>
          </cell>
          <cell r="P14">
            <v>-19</v>
          </cell>
          <cell r="Q14">
            <v>-7</v>
          </cell>
          <cell r="X14">
            <v>7</v>
          </cell>
          <cell r="Y14">
            <v>-13</v>
          </cell>
        </row>
        <row r="15">
          <cell r="H15">
            <v>45</v>
          </cell>
          <cell r="I15">
            <v>22</v>
          </cell>
          <cell r="P15">
            <v>9</v>
          </cell>
          <cell r="Q15">
            <v>17</v>
          </cell>
          <cell r="X15">
            <v>32</v>
          </cell>
          <cell r="Y15">
            <v>13</v>
          </cell>
        </row>
        <row r="16">
          <cell r="H16">
            <v>45</v>
          </cell>
          <cell r="I16">
            <v>27</v>
          </cell>
          <cell r="P16">
            <v>26</v>
          </cell>
          <cell r="Q16">
            <v>25</v>
          </cell>
          <cell r="X16">
            <v>35</v>
          </cell>
          <cell r="Y16">
            <v>27</v>
          </cell>
        </row>
        <row r="17">
          <cell r="H17">
            <v>8</v>
          </cell>
          <cell r="I17">
            <v>3</v>
          </cell>
          <cell r="P17">
            <v>10</v>
          </cell>
          <cell r="Q17">
            <v>19</v>
          </cell>
          <cell r="X17">
            <v>3</v>
          </cell>
          <cell r="Y17">
            <v>-4</v>
          </cell>
        </row>
        <row r="18">
          <cell r="H18">
            <v>-1</v>
          </cell>
          <cell r="I18">
            <v>-5</v>
          </cell>
          <cell r="P18">
            <v>-7</v>
          </cell>
          <cell r="Q18">
            <v>-9</v>
          </cell>
          <cell r="X18">
            <v>27</v>
          </cell>
          <cell r="Y18">
            <v>-4</v>
          </cell>
        </row>
        <row r="19">
          <cell r="H19">
            <v>18</v>
          </cell>
          <cell r="I19">
            <v>10</v>
          </cell>
          <cell r="P19">
            <v>15</v>
          </cell>
          <cell r="Q19">
            <v>8</v>
          </cell>
          <cell r="X19">
            <v>11</v>
          </cell>
          <cell r="Y19">
            <v>2</v>
          </cell>
        </row>
        <row r="20">
          <cell r="H20">
            <v>5</v>
          </cell>
          <cell r="I20">
            <v>-8</v>
          </cell>
          <cell r="P20">
            <v>10</v>
          </cell>
          <cell r="Q20">
            <v>5</v>
          </cell>
          <cell r="X20">
            <v>3</v>
          </cell>
          <cell r="Y20">
            <v>-17</v>
          </cell>
        </row>
        <row r="21">
          <cell r="H21">
            <v>7</v>
          </cell>
          <cell r="I21">
            <v>-6</v>
          </cell>
          <cell r="P21">
            <v>-4</v>
          </cell>
          <cell r="Q21">
            <v>-12</v>
          </cell>
          <cell r="X21">
            <v>-4</v>
          </cell>
          <cell r="Y21">
            <v>-11</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fbref.com/en/squads/b8fd03ef/2018-2019/Manchester-City-Stats" TargetMode="External"/><Relationship Id="rId18" Type="http://schemas.openxmlformats.org/officeDocument/2006/relationships/hyperlink" Target="https://fbref.com/en/squads/2abfe087/2018-2019/Watford-Stats" TargetMode="External"/><Relationship Id="rId26" Type="http://schemas.openxmlformats.org/officeDocument/2006/relationships/hyperlink" Target="https://fbref.com/en/squads/47c64c55/2020-2021/Crystal-Palace-Stats" TargetMode="External"/><Relationship Id="rId39" Type="http://schemas.openxmlformats.org/officeDocument/2006/relationships/hyperlink" Target="https://fbref.com/en/squads/7c21e445/2020-2021/West-Ham-United-Stats" TargetMode="External"/><Relationship Id="rId21" Type="http://schemas.openxmlformats.org/officeDocument/2006/relationships/hyperlink" Target="https://fbref.com/en/squads/18bb7c10/2020-2021/Arsenal-Stats" TargetMode="External"/><Relationship Id="rId34" Type="http://schemas.openxmlformats.org/officeDocument/2006/relationships/hyperlink" Target="https://fbref.com/en/squads/b2b47a98/2020-2021/Newcastle-United-Stats" TargetMode="External"/><Relationship Id="rId42" Type="http://schemas.openxmlformats.org/officeDocument/2006/relationships/hyperlink" Target="https://fbref.com/en/squads/8602292d/2023-2024/Aston-Villa-Stats" TargetMode="External"/><Relationship Id="rId47" Type="http://schemas.openxmlformats.org/officeDocument/2006/relationships/hyperlink" Target="https://fbref.com/en/squads/cff3d9bb/2023-2024/Chelsea-Stats" TargetMode="External"/><Relationship Id="rId50" Type="http://schemas.openxmlformats.org/officeDocument/2006/relationships/hyperlink" Target="https://fbref.com/en/squads/fd962109/2023-2024/Fulham-Stats" TargetMode="External"/><Relationship Id="rId55" Type="http://schemas.openxmlformats.org/officeDocument/2006/relationships/hyperlink" Target="https://fbref.com/en/squads/b2b47a98/2023-2024/Newcastle-United-Stats" TargetMode="External"/><Relationship Id="rId7" Type="http://schemas.openxmlformats.org/officeDocument/2006/relationships/hyperlink" Target="https://fbref.com/en/squads/47c64c55/2018-2019/Crystal-Palace-Stats" TargetMode="External"/><Relationship Id="rId2" Type="http://schemas.openxmlformats.org/officeDocument/2006/relationships/hyperlink" Target="https://fbref.com/en/squads/4ba7cbea/2018-2019/Bournemouth-Stats" TargetMode="External"/><Relationship Id="rId16" Type="http://schemas.openxmlformats.org/officeDocument/2006/relationships/hyperlink" Target="https://fbref.com/en/squads/33c895d4/2018-2019/Southampton-Stats" TargetMode="External"/><Relationship Id="rId29" Type="http://schemas.openxmlformats.org/officeDocument/2006/relationships/hyperlink" Target="https://fbref.com/en/squads/5bfb9659/2020-2021/Leeds-United-Stats" TargetMode="External"/><Relationship Id="rId11" Type="http://schemas.openxmlformats.org/officeDocument/2006/relationships/hyperlink" Target="https://fbref.com/en/squads/a2d435b3/2018-2019/Leicester-City-Stats" TargetMode="External"/><Relationship Id="rId24" Type="http://schemas.openxmlformats.org/officeDocument/2006/relationships/hyperlink" Target="https://fbref.com/en/squads/943e8050/2020-2021/Burnley-Stats" TargetMode="External"/><Relationship Id="rId32" Type="http://schemas.openxmlformats.org/officeDocument/2006/relationships/hyperlink" Target="https://fbref.com/en/squads/b8fd03ef/2020-2021/Manchester-City-Stats" TargetMode="External"/><Relationship Id="rId37" Type="http://schemas.openxmlformats.org/officeDocument/2006/relationships/hyperlink" Target="https://fbref.com/en/squads/361ca564/2020-2021/Tottenham-Hotspur-Stats" TargetMode="External"/><Relationship Id="rId40" Type="http://schemas.openxmlformats.org/officeDocument/2006/relationships/hyperlink" Target="https://fbref.com/en/squads/8cec06e1/2020-2021/Wolverhampton-Wanderers-Stats" TargetMode="External"/><Relationship Id="rId45" Type="http://schemas.openxmlformats.org/officeDocument/2006/relationships/hyperlink" Target="https://fbref.com/en/squads/d07537b9/2023-2024/Brighton-and-Hove-Albion-Stats" TargetMode="External"/><Relationship Id="rId53" Type="http://schemas.openxmlformats.org/officeDocument/2006/relationships/hyperlink" Target="https://fbref.com/en/squads/b8fd03ef/2023-2024/Manchester-City-Stats" TargetMode="External"/><Relationship Id="rId58" Type="http://schemas.openxmlformats.org/officeDocument/2006/relationships/hyperlink" Target="https://fbref.com/en/squads/361ca564/2023-2024/Tottenham-Hotspur-Stats" TargetMode="External"/><Relationship Id="rId5" Type="http://schemas.openxmlformats.org/officeDocument/2006/relationships/hyperlink" Target="https://fbref.com/en/squads/75fae011/2018-2019/Cardiff-City-Stats" TargetMode="External"/><Relationship Id="rId61" Type="http://schemas.openxmlformats.org/officeDocument/2006/relationships/drawing" Target="../drawings/drawing1.xml"/><Relationship Id="rId19" Type="http://schemas.openxmlformats.org/officeDocument/2006/relationships/hyperlink" Target="https://fbref.com/en/squads/7c21e445/2018-2019/West-Ham-United-Stats" TargetMode="External"/><Relationship Id="rId14" Type="http://schemas.openxmlformats.org/officeDocument/2006/relationships/hyperlink" Target="https://fbref.com/en/squads/19538871/2018-2019/Manchester-United-Stats" TargetMode="External"/><Relationship Id="rId22" Type="http://schemas.openxmlformats.org/officeDocument/2006/relationships/hyperlink" Target="https://fbref.com/en/squads/8602292d/2020-2021/Aston-Villa-Stats" TargetMode="External"/><Relationship Id="rId27" Type="http://schemas.openxmlformats.org/officeDocument/2006/relationships/hyperlink" Target="https://fbref.com/en/squads/d3fd31cc/2020-2021/Everton-Stats" TargetMode="External"/><Relationship Id="rId30" Type="http://schemas.openxmlformats.org/officeDocument/2006/relationships/hyperlink" Target="https://fbref.com/en/squads/a2d435b3/2020-2021/Leicester-City-Stats" TargetMode="External"/><Relationship Id="rId35" Type="http://schemas.openxmlformats.org/officeDocument/2006/relationships/hyperlink" Target="https://fbref.com/en/squads/1df6b87e/2020-2021/Sheffield-United-Stats" TargetMode="External"/><Relationship Id="rId43" Type="http://schemas.openxmlformats.org/officeDocument/2006/relationships/hyperlink" Target="https://fbref.com/en/squads/4ba7cbea/2023-2024/Bournemouth-Stats" TargetMode="External"/><Relationship Id="rId48" Type="http://schemas.openxmlformats.org/officeDocument/2006/relationships/hyperlink" Target="https://fbref.com/en/squads/47c64c55/2023-2024/Crystal-Palace-Stats" TargetMode="External"/><Relationship Id="rId56" Type="http://schemas.openxmlformats.org/officeDocument/2006/relationships/hyperlink" Target="https://fbref.com/en/squads/e4a775cb/2023-2024/Nottingham-Forest-Stats" TargetMode="External"/><Relationship Id="rId8" Type="http://schemas.openxmlformats.org/officeDocument/2006/relationships/hyperlink" Target="https://fbref.com/en/squads/d3fd31cc/2018-2019/Everton-Stats" TargetMode="External"/><Relationship Id="rId51" Type="http://schemas.openxmlformats.org/officeDocument/2006/relationships/hyperlink" Target="https://fbref.com/en/squads/822bd0ba/2023-2024/Liverpool-Stats" TargetMode="External"/><Relationship Id="rId3" Type="http://schemas.openxmlformats.org/officeDocument/2006/relationships/hyperlink" Target="https://fbref.com/en/squads/d07537b9/2018-2019/Brighton-and-Hove-Albion-Stats" TargetMode="External"/><Relationship Id="rId12" Type="http://schemas.openxmlformats.org/officeDocument/2006/relationships/hyperlink" Target="https://fbref.com/en/squads/822bd0ba/2018-2019/Liverpool-Stats" TargetMode="External"/><Relationship Id="rId17" Type="http://schemas.openxmlformats.org/officeDocument/2006/relationships/hyperlink" Target="https://fbref.com/en/squads/361ca564/2018-2019/Tottenham-Hotspur-Stats" TargetMode="External"/><Relationship Id="rId25" Type="http://schemas.openxmlformats.org/officeDocument/2006/relationships/hyperlink" Target="https://fbref.com/en/squads/cff3d9bb/2020-2021/Chelsea-Stats" TargetMode="External"/><Relationship Id="rId33" Type="http://schemas.openxmlformats.org/officeDocument/2006/relationships/hyperlink" Target="https://fbref.com/en/squads/19538871/2020-2021/Manchester-United-Stats" TargetMode="External"/><Relationship Id="rId38" Type="http://schemas.openxmlformats.org/officeDocument/2006/relationships/hyperlink" Target="https://fbref.com/en/squads/60c6b05f/2020-2021/West-Bromwich-Albion-Stats" TargetMode="External"/><Relationship Id="rId46" Type="http://schemas.openxmlformats.org/officeDocument/2006/relationships/hyperlink" Target="https://fbref.com/en/squads/943e8050/2023-2024/Burnley-Stats" TargetMode="External"/><Relationship Id="rId59" Type="http://schemas.openxmlformats.org/officeDocument/2006/relationships/hyperlink" Target="https://fbref.com/en/squads/7c21e445/2023-2024/West-Ham-United-Stats" TargetMode="External"/><Relationship Id="rId20" Type="http://schemas.openxmlformats.org/officeDocument/2006/relationships/hyperlink" Target="https://fbref.com/en/squads/8cec06e1/2018-2019/Wolverhampton-Wanderers-Stats" TargetMode="External"/><Relationship Id="rId41" Type="http://schemas.openxmlformats.org/officeDocument/2006/relationships/hyperlink" Target="https://fbref.com/en/squads/18bb7c10/2023-2024/Arsenal-Stats" TargetMode="External"/><Relationship Id="rId54" Type="http://schemas.openxmlformats.org/officeDocument/2006/relationships/hyperlink" Target="https://fbref.com/en/squads/19538871/2023-2024/Manchester-United-Stats" TargetMode="External"/><Relationship Id="rId1" Type="http://schemas.openxmlformats.org/officeDocument/2006/relationships/hyperlink" Target="https://fbref.com/en/squads/18bb7c10/2018-2019/Arsenal-Stats" TargetMode="External"/><Relationship Id="rId6" Type="http://schemas.openxmlformats.org/officeDocument/2006/relationships/hyperlink" Target="https://fbref.com/en/squads/cff3d9bb/2018-2019/Chelsea-Stats" TargetMode="External"/><Relationship Id="rId15" Type="http://schemas.openxmlformats.org/officeDocument/2006/relationships/hyperlink" Target="https://fbref.com/en/squads/b2b47a98/2018-2019/Newcastle-United-Stats" TargetMode="External"/><Relationship Id="rId23" Type="http://schemas.openxmlformats.org/officeDocument/2006/relationships/hyperlink" Target="https://fbref.com/en/squads/d07537b9/2020-2021/Brighton-and-Hove-Albion-Stats" TargetMode="External"/><Relationship Id="rId28" Type="http://schemas.openxmlformats.org/officeDocument/2006/relationships/hyperlink" Target="https://fbref.com/en/squads/fd962109/2020-2021/Fulham-Stats" TargetMode="External"/><Relationship Id="rId36" Type="http://schemas.openxmlformats.org/officeDocument/2006/relationships/hyperlink" Target="https://fbref.com/en/squads/33c895d4/2020-2021/Southampton-Stats" TargetMode="External"/><Relationship Id="rId49" Type="http://schemas.openxmlformats.org/officeDocument/2006/relationships/hyperlink" Target="https://fbref.com/en/squads/d3fd31cc/2023-2024/Everton-Stats" TargetMode="External"/><Relationship Id="rId57" Type="http://schemas.openxmlformats.org/officeDocument/2006/relationships/hyperlink" Target="https://fbref.com/en/squads/1df6b87e/2023-2024/Sheffield-United-Stats" TargetMode="External"/><Relationship Id="rId10" Type="http://schemas.openxmlformats.org/officeDocument/2006/relationships/hyperlink" Target="https://fbref.com/en/squads/f5922ca5/2018-2019/Huddersfield-Town-Stats" TargetMode="External"/><Relationship Id="rId31" Type="http://schemas.openxmlformats.org/officeDocument/2006/relationships/hyperlink" Target="https://fbref.com/en/squads/822bd0ba/2020-2021/Liverpool-Stats" TargetMode="External"/><Relationship Id="rId44" Type="http://schemas.openxmlformats.org/officeDocument/2006/relationships/hyperlink" Target="https://fbref.com/en/squads/cd051869/2023-2024/Brentford-Stats" TargetMode="External"/><Relationship Id="rId52" Type="http://schemas.openxmlformats.org/officeDocument/2006/relationships/hyperlink" Target="https://fbref.com/en/squads/e297cd13/2023-2024/Luton-Town-Stats" TargetMode="External"/><Relationship Id="rId60" Type="http://schemas.openxmlformats.org/officeDocument/2006/relationships/hyperlink" Target="https://fbref.com/en/squads/8cec06e1/2023-2024/Wolverhampton-Wanderers-Stats" TargetMode="External"/><Relationship Id="rId4" Type="http://schemas.openxmlformats.org/officeDocument/2006/relationships/hyperlink" Target="https://fbref.com/en/squads/943e8050/2018-2019/Burnley-Stats" TargetMode="External"/><Relationship Id="rId9" Type="http://schemas.openxmlformats.org/officeDocument/2006/relationships/hyperlink" Target="https://fbref.com/en/squads/fd962109/2018-2019/Fulham-Stat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78CB-FBEB-E24D-AD75-7E6D6F719B46}">
  <sheetPr codeName="Sheet1"/>
  <dimension ref="A1:AC69"/>
  <sheetViews>
    <sheetView showGridLines="0" tabSelected="1" zoomScaleNormal="100" workbookViewId="0"/>
  </sheetViews>
  <sheetFormatPr baseColWidth="10" defaultRowHeight="13" x14ac:dyDescent="0.15"/>
  <cols>
    <col min="1" max="1" width="10.83203125" style="1"/>
    <col min="2" max="2" width="15.1640625" style="1" bestFit="1" customWidth="1"/>
    <col min="3" max="3" width="12.1640625" style="1" bestFit="1" customWidth="1"/>
    <col min="4" max="16384" width="10.83203125" style="1"/>
  </cols>
  <sheetData>
    <row r="1" spans="1:29" x14ac:dyDescent="0.15">
      <c r="A1" s="2"/>
      <c r="B1" s="2"/>
      <c r="AC1" s="2"/>
    </row>
    <row r="2" spans="1:29" x14ac:dyDescent="0.15">
      <c r="A2" s="159" t="s">
        <v>20</v>
      </c>
      <c r="B2" s="4" t="s">
        <v>21</v>
      </c>
      <c r="C2" s="159" t="s">
        <v>37</v>
      </c>
      <c r="D2" s="159" t="s">
        <v>35</v>
      </c>
      <c r="E2" s="159"/>
      <c r="F2" s="159"/>
      <c r="G2" s="159"/>
      <c r="H2" s="159"/>
      <c r="I2" s="159"/>
      <c r="J2" s="159"/>
      <c r="K2" s="159"/>
      <c r="L2" s="159"/>
      <c r="M2" s="159"/>
      <c r="N2" s="159"/>
      <c r="O2" s="159"/>
      <c r="P2" s="159"/>
      <c r="Q2" s="159" t="s">
        <v>36</v>
      </c>
      <c r="R2" s="159"/>
      <c r="S2" s="159"/>
      <c r="T2" s="159"/>
      <c r="U2" s="159"/>
      <c r="V2" s="159"/>
      <c r="W2" s="159"/>
      <c r="X2" s="159"/>
      <c r="Y2" s="159"/>
      <c r="Z2" s="159"/>
      <c r="AA2" s="159"/>
      <c r="AB2" s="159"/>
      <c r="AC2" s="159"/>
    </row>
    <row r="3" spans="1:29" x14ac:dyDescent="0.15">
      <c r="A3" s="159"/>
      <c r="B3" s="4" t="s">
        <v>39</v>
      </c>
      <c r="C3" s="159"/>
      <c r="D3" s="4" t="s">
        <v>22</v>
      </c>
      <c r="E3" s="4" t="s">
        <v>23</v>
      </c>
      <c r="F3" s="4" t="s">
        <v>24</v>
      </c>
      <c r="G3" s="4" t="s">
        <v>25</v>
      </c>
      <c r="H3" s="4" t="s">
        <v>26</v>
      </c>
      <c r="I3" s="4" t="s">
        <v>27</v>
      </c>
      <c r="J3" s="4" t="s">
        <v>28</v>
      </c>
      <c r="K3" s="4" t="s">
        <v>29</v>
      </c>
      <c r="L3" s="4" t="s">
        <v>30</v>
      </c>
      <c r="M3" s="4" t="s">
        <v>31</v>
      </c>
      <c r="N3" s="4" t="s">
        <v>32</v>
      </c>
      <c r="O3" s="4" t="s">
        <v>33</v>
      </c>
      <c r="P3" s="4" t="s">
        <v>34</v>
      </c>
      <c r="Q3" s="4" t="s">
        <v>22</v>
      </c>
      <c r="R3" s="4" t="s">
        <v>23</v>
      </c>
      <c r="S3" s="4" t="s">
        <v>24</v>
      </c>
      <c r="T3" s="4" t="s">
        <v>25</v>
      </c>
      <c r="U3" s="4" t="s">
        <v>26</v>
      </c>
      <c r="V3" s="4" t="s">
        <v>27</v>
      </c>
      <c r="W3" s="4" t="s">
        <v>28</v>
      </c>
      <c r="X3" s="4" t="s">
        <v>29</v>
      </c>
      <c r="Y3" s="4" t="s">
        <v>30</v>
      </c>
      <c r="Z3" s="4" t="s">
        <v>31</v>
      </c>
      <c r="AA3" s="4" t="s">
        <v>32</v>
      </c>
      <c r="AB3" s="4" t="s">
        <v>33</v>
      </c>
      <c r="AC3" s="4" t="s">
        <v>34</v>
      </c>
    </row>
    <row r="4" spans="1:29" x14ac:dyDescent="0.15">
      <c r="A4" s="5">
        <v>5</v>
      </c>
      <c r="B4" s="3" t="s">
        <v>4</v>
      </c>
      <c r="C4" s="8">
        <v>59899</v>
      </c>
      <c r="D4" s="5">
        <v>19</v>
      </c>
      <c r="E4" s="5">
        <v>14</v>
      </c>
      <c r="F4" s="5">
        <v>3</v>
      </c>
      <c r="G4" s="5">
        <v>2</v>
      </c>
      <c r="H4" s="5">
        <v>42</v>
      </c>
      <c r="I4" s="5">
        <v>16</v>
      </c>
      <c r="J4" s="5">
        <v>26</v>
      </c>
      <c r="K4" s="5">
        <v>45</v>
      </c>
      <c r="L4" s="5">
        <v>2.37</v>
      </c>
      <c r="M4" s="5">
        <v>34.6</v>
      </c>
      <c r="N4" s="5">
        <v>23.5</v>
      </c>
      <c r="O4" s="5">
        <v>11</v>
      </c>
      <c r="P4" s="5">
        <v>0.57999999999999996</v>
      </c>
      <c r="Q4" s="5">
        <v>19</v>
      </c>
      <c r="R4" s="5">
        <v>7</v>
      </c>
      <c r="S4" s="5">
        <v>4</v>
      </c>
      <c r="T4" s="5">
        <v>8</v>
      </c>
      <c r="U4" s="5">
        <v>31</v>
      </c>
      <c r="V4" s="5">
        <v>35</v>
      </c>
      <c r="W4" s="5">
        <v>-4</v>
      </c>
      <c r="X4" s="5">
        <v>25</v>
      </c>
      <c r="Y4" s="5">
        <v>1.32</v>
      </c>
      <c r="Z4" s="5">
        <v>25.5</v>
      </c>
      <c r="AA4" s="5">
        <v>30.7</v>
      </c>
      <c r="AB4" s="5">
        <v>-5.2</v>
      </c>
      <c r="AC4" s="5">
        <v>-0.27</v>
      </c>
    </row>
    <row r="5" spans="1:29" x14ac:dyDescent="0.15">
      <c r="A5" s="5">
        <v>14</v>
      </c>
      <c r="B5" s="3" t="s">
        <v>13</v>
      </c>
      <c r="C5" s="8">
        <v>10532</v>
      </c>
      <c r="D5" s="5">
        <v>19</v>
      </c>
      <c r="E5" s="5">
        <v>8</v>
      </c>
      <c r="F5" s="5">
        <v>5</v>
      </c>
      <c r="G5" s="5">
        <v>6</v>
      </c>
      <c r="H5" s="5">
        <v>30</v>
      </c>
      <c r="I5" s="5">
        <v>25</v>
      </c>
      <c r="J5" s="5">
        <v>5</v>
      </c>
      <c r="K5" s="5">
        <v>29</v>
      </c>
      <c r="L5" s="5">
        <v>1.53</v>
      </c>
      <c r="M5" s="5">
        <v>27.7</v>
      </c>
      <c r="N5" s="5">
        <v>25.2</v>
      </c>
      <c r="O5" s="5">
        <v>2.5</v>
      </c>
      <c r="P5" s="5">
        <v>0.13</v>
      </c>
      <c r="Q5" s="5">
        <v>19</v>
      </c>
      <c r="R5" s="5">
        <v>5</v>
      </c>
      <c r="S5" s="5">
        <v>1</v>
      </c>
      <c r="T5" s="5">
        <v>13</v>
      </c>
      <c r="U5" s="5">
        <v>26</v>
      </c>
      <c r="V5" s="5">
        <v>45</v>
      </c>
      <c r="W5" s="5">
        <v>-19</v>
      </c>
      <c r="X5" s="5">
        <v>16</v>
      </c>
      <c r="Y5" s="5">
        <v>0.84</v>
      </c>
      <c r="Z5" s="5">
        <v>25.6</v>
      </c>
      <c r="AA5" s="5">
        <v>32</v>
      </c>
      <c r="AB5" s="5">
        <v>-6.4</v>
      </c>
      <c r="AC5" s="5">
        <v>-0.34</v>
      </c>
    </row>
    <row r="6" spans="1:29" x14ac:dyDescent="0.15">
      <c r="A6" s="5">
        <v>17</v>
      </c>
      <c r="B6" s="3" t="s">
        <v>16</v>
      </c>
      <c r="C6" s="8">
        <v>30426</v>
      </c>
      <c r="D6" s="5">
        <v>19</v>
      </c>
      <c r="E6" s="5">
        <v>6</v>
      </c>
      <c r="F6" s="5">
        <v>5</v>
      </c>
      <c r="G6" s="5">
        <v>8</v>
      </c>
      <c r="H6" s="5">
        <v>19</v>
      </c>
      <c r="I6" s="5">
        <v>28</v>
      </c>
      <c r="J6" s="5">
        <v>-9</v>
      </c>
      <c r="K6" s="5">
        <v>23</v>
      </c>
      <c r="L6" s="5">
        <v>1.21</v>
      </c>
      <c r="M6" s="5">
        <v>19.899999999999999</v>
      </c>
      <c r="N6" s="5">
        <v>24</v>
      </c>
      <c r="O6" s="5">
        <v>-4.0999999999999996</v>
      </c>
      <c r="P6" s="5">
        <v>-0.22</v>
      </c>
      <c r="Q6" s="5">
        <v>19</v>
      </c>
      <c r="R6" s="5">
        <v>3</v>
      </c>
      <c r="S6" s="5">
        <v>4</v>
      </c>
      <c r="T6" s="5">
        <v>12</v>
      </c>
      <c r="U6" s="5">
        <v>16</v>
      </c>
      <c r="V6" s="5">
        <v>32</v>
      </c>
      <c r="W6" s="5">
        <v>-16</v>
      </c>
      <c r="X6" s="5">
        <v>13</v>
      </c>
      <c r="Y6" s="5">
        <v>0.68</v>
      </c>
      <c r="Z6" s="5">
        <v>15.4</v>
      </c>
      <c r="AA6" s="5">
        <v>35.1</v>
      </c>
      <c r="AB6" s="5">
        <v>-19.7</v>
      </c>
      <c r="AC6" s="5">
        <v>-1.04</v>
      </c>
    </row>
    <row r="7" spans="1:29" x14ac:dyDescent="0.15">
      <c r="A7" s="5">
        <v>15</v>
      </c>
      <c r="B7" s="3" t="s">
        <v>14</v>
      </c>
      <c r="C7" s="8">
        <v>20534</v>
      </c>
      <c r="D7" s="5">
        <v>19</v>
      </c>
      <c r="E7" s="5">
        <v>7</v>
      </c>
      <c r="F7" s="5">
        <v>2</v>
      </c>
      <c r="G7" s="5">
        <v>10</v>
      </c>
      <c r="H7" s="5">
        <v>24</v>
      </c>
      <c r="I7" s="5">
        <v>32</v>
      </c>
      <c r="J7" s="5">
        <v>-8</v>
      </c>
      <c r="K7" s="5">
        <v>23</v>
      </c>
      <c r="L7" s="5">
        <v>1.21</v>
      </c>
      <c r="M7" s="5">
        <v>25.6</v>
      </c>
      <c r="N7" s="5">
        <v>26.3</v>
      </c>
      <c r="O7" s="5">
        <v>-0.8</v>
      </c>
      <c r="P7" s="5">
        <v>-0.04</v>
      </c>
      <c r="Q7" s="5">
        <v>19</v>
      </c>
      <c r="R7" s="5">
        <v>4</v>
      </c>
      <c r="S7" s="5">
        <v>5</v>
      </c>
      <c r="T7" s="5">
        <v>10</v>
      </c>
      <c r="U7" s="5">
        <v>21</v>
      </c>
      <c r="V7" s="5">
        <v>36</v>
      </c>
      <c r="W7" s="5">
        <v>-15</v>
      </c>
      <c r="X7" s="5">
        <v>17</v>
      </c>
      <c r="Y7" s="5">
        <v>0.89</v>
      </c>
      <c r="Z7" s="5">
        <v>18.8</v>
      </c>
      <c r="AA7" s="5">
        <v>35.700000000000003</v>
      </c>
      <c r="AB7" s="5">
        <v>-16.899999999999999</v>
      </c>
      <c r="AC7" s="5">
        <v>-0.89</v>
      </c>
    </row>
    <row r="8" spans="1:29" x14ac:dyDescent="0.15">
      <c r="A8" s="5">
        <v>18</v>
      </c>
      <c r="B8" s="3" t="s">
        <v>17</v>
      </c>
      <c r="C8" s="8">
        <v>31408</v>
      </c>
      <c r="D8" s="5">
        <v>19</v>
      </c>
      <c r="E8" s="5">
        <v>6</v>
      </c>
      <c r="F8" s="5">
        <v>2</v>
      </c>
      <c r="G8" s="5">
        <v>11</v>
      </c>
      <c r="H8" s="5">
        <v>21</v>
      </c>
      <c r="I8" s="5">
        <v>38</v>
      </c>
      <c r="J8" s="5">
        <v>-17</v>
      </c>
      <c r="K8" s="5">
        <v>20</v>
      </c>
      <c r="L8" s="5">
        <v>1.05</v>
      </c>
      <c r="M8" s="5">
        <v>24.6</v>
      </c>
      <c r="N8" s="5">
        <v>25.5</v>
      </c>
      <c r="O8" s="5">
        <v>-1</v>
      </c>
      <c r="P8" s="5">
        <v>-0.05</v>
      </c>
      <c r="Q8" s="5">
        <v>19</v>
      </c>
      <c r="R8" s="5">
        <v>4</v>
      </c>
      <c r="S8" s="5">
        <v>2</v>
      </c>
      <c r="T8" s="5">
        <v>13</v>
      </c>
      <c r="U8" s="5">
        <v>13</v>
      </c>
      <c r="V8" s="5">
        <v>31</v>
      </c>
      <c r="W8" s="5">
        <v>-18</v>
      </c>
      <c r="X8" s="5">
        <v>14</v>
      </c>
      <c r="Y8" s="5">
        <v>0.74</v>
      </c>
      <c r="Z8" s="5">
        <v>17.8</v>
      </c>
      <c r="AA8" s="5">
        <v>35.9</v>
      </c>
      <c r="AB8" s="5">
        <v>-18.2</v>
      </c>
      <c r="AC8" s="5">
        <v>-0.96</v>
      </c>
    </row>
    <row r="9" spans="1:29" x14ac:dyDescent="0.15">
      <c r="A9" s="5">
        <v>3</v>
      </c>
      <c r="B9" s="3" t="s">
        <v>2</v>
      </c>
      <c r="C9" s="8">
        <v>40437</v>
      </c>
      <c r="D9" s="5">
        <v>19</v>
      </c>
      <c r="E9" s="5">
        <v>12</v>
      </c>
      <c r="F9" s="5">
        <v>6</v>
      </c>
      <c r="G9" s="5">
        <v>1</v>
      </c>
      <c r="H9" s="5">
        <v>39</v>
      </c>
      <c r="I9" s="5">
        <v>12</v>
      </c>
      <c r="J9" s="5">
        <v>27</v>
      </c>
      <c r="K9" s="5">
        <v>42</v>
      </c>
      <c r="L9" s="5">
        <v>2.21</v>
      </c>
      <c r="M9" s="5">
        <v>31</v>
      </c>
      <c r="N9" s="5">
        <v>14.4</v>
      </c>
      <c r="O9" s="5">
        <v>16.600000000000001</v>
      </c>
      <c r="P9" s="5">
        <v>0.87</v>
      </c>
      <c r="Q9" s="5">
        <v>19</v>
      </c>
      <c r="R9" s="5">
        <v>9</v>
      </c>
      <c r="S9" s="5">
        <v>3</v>
      </c>
      <c r="T9" s="5">
        <v>7</v>
      </c>
      <c r="U9" s="5">
        <v>24</v>
      </c>
      <c r="V9" s="5">
        <v>27</v>
      </c>
      <c r="W9" s="5">
        <v>-3</v>
      </c>
      <c r="X9" s="5">
        <v>30</v>
      </c>
      <c r="Y9" s="5">
        <v>1.58</v>
      </c>
      <c r="Z9" s="5">
        <v>27.6</v>
      </c>
      <c r="AA9" s="5">
        <v>22</v>
      </c>
      <c r="AB9" s="5">
        <v>5.6</v>
      </c>
      <c r="AC9" s="5">
        <v>0.28999999999999998</v>
      </c>
    </row>
    <row r="10" spans="1:29" x14ac:dyDescent="0.15">
      <c r="A10" s="5">
        <v>12</v>
      </c>
      <c r="B10" s="3" t="s">
        <v>11</v>
      </c>
      <c r="C10" s="8">
        <v>25455</v>
      </c>
      <c r="D10" s="5">
        <v>19</v>
      </c>
      <c r="E10" s="5">
        <v>5</v>
      </c>
      <c r="F10" s="5">
        <v>5</v>
      </c>
      <c r="G10" s="5">
        <v>9</v>
      </c>
      <c r="H10" s="5">
        <v>19</v>
      </c>
      <c r="I10" s="5">
        <v>23</v>
      </c>
      <c r="J10" s="5">
        <v>-4</v>
      </c>
      <c r="K10" s="5">
        <v>20</v>
      </c>
      <c r="L10" s="5">
        <v>1.05</v>
      </c>
      <c r="M10" s="5">
        <v>28.1</v>
      </c>
      <c r="N10" s="5">
        <v>23.5</v>
      </c>
      <c r="O10" s="5">
        <v>4.7</v>
      </c>
      <c r="P10" s="5">
        <v>0.25</v>
      </c>
      <c r="Q10" s="5">
        <v>19</v>
      </c>
      <c r="R10" s="5">
        <v>9</v>
      </c>
      <c r="S10" s="5">
        <v>2</v>
      </c>
      <c r="T10" s="5">
        <v>8</v>
      </c>
      <c r="U10" s="5">
        <v>32</v>
      </c>
      <c r="V10" s="5">
        <v>30</v>
      </c>
      <c r="W10" s="5">
        <v>2</v>
      </c>
      <c r="X10" s="5">
        <v>29</v>
      </c>
      <c r="Y10" s="5">
        <v>1.53</v>
      </c>
      <c r="Z10" s="5">
        <v>19.5</v>
      </c>
      <c r="AA10" s="5">
        <v>26.6</v>
      </c>
      <c r="AB10" s="5">
        <v>-7.2</v>
      </c>
      <c r="AC10" s="5">
        <v>-0.38</v>
      </c>
    </row>
    <row r="11" spans="1:29" x14ac:dyDescent="0.15">
      <c r="A11" s="5">
        <v>8</v>
      </c>
      <c r="B11" s="3" t="s">
        <v>7</v>
      </c>
      <c r="C11" s="8">
        <v>39043</v>
      </c>
      <c r="D11" s="5">
        <v>19</v>
      </c>
      <c r="E11" s="5">
        <v>10</v>
      </c>
      <c r="F11" s="5">
        <v>4</v>
      </c>
      <c r="G11" s="5">
        <v>5</v>
      </c>
      <c r="H11" s="5">
        <v>30</v>
      </c>
      <c r="I11" s="5">
        <v>21</v>
      </c>
      <c r="J11" s="5">
        <v>9</v>
      </c>
      <c r="K11" s="5">
        <v>34</v>
      </c>
      <c r="L11" s="5">
        <v>1.79</v>
      </c>
      <c r="M11" s="5">
        <v>28</v>
      </c>
      <c r="N11" s="5">
        <v>21.7</v>
      </c>
      <c r="O11" s="5">
        <v>6.2</v>
      </c>
      <c r="P11" s="5">
        <v>0.33</v>
      </c>
      <c r="Q11" s="5">
        <v>19</v>
      </c>
      <c r="R11" s="5">
        <v>5</v>
      </c>
      <c r="S11" s="5">
        <v>5</v>
      </c>
      <c r="T11" s="5">
        <v>9</v>
      </c>
      <c r="U11" s="5">
        <v>24</v>
      </c>
      <c r="V11" s="5">
        <v>25</v>
      </c>
      <c r="W11" s="5">
        <v>-1</v>
      </c>
      <c r="X11" s="5">
        <v>20</v>
      </c>
      <c r="Y11" s="5">
        <v>1.05</v>
      </c>
      <c r="Z11" s="5">
        <v>21.7</v>
      </c>
      <c r="AA11" s="5">
        <v>24</v>
      </c>
      <c r="AB11" s="5">
        <v>-2.2999999999999998</v>
      </c>
      <c r="AC11" s="5">
        <v>-0.12</v>
      </c>
    </row>
    <row r="12" spans="1:29" x14ac:dyDescent="0.15">
      <c r="A12" s="5">
        <v>19</v>
      </c>
      <c r="B12" s="3" t="s">
        <v>18</v>
      </c>
      <c r="C12" s="8">
        <v>24371</v>
      </c>
      <c r="D12" s="5">
        <v>19</v>
      </c>
      <c r="E12" s="5">
        <v>6</v>
      </c>
      <c r="F12" s="5">
        <v>3</v>
      </c>
      <c r="G12" s="5">
        <v>10</v>
      </c>
      <c r="H12" s="5">
        <v>22</v>
      </c>
      <c r="I12" s="5">
        <v>36</v>
      </c>
      <c r="J12" s="5">
        <v>-14</v>
      </c>
      <c r="K12" s="5">
        <v>21</v>
      </c>
      <c r="L12" s="5">
        <v>1.1100000000000001</v>
      </c>
      <c r="M12" s="5">
        <v>24</v>
      </c>
      <c r="N12" s="5">
        <v>27.8</v>
      </c>
      <c r="O12" s="5">
        <v>-3.7</v>
      </c>
      <c r="P12" s="5">
        <v>-0.2</v>
      </c>
      <c r="Q12" s="5">
        <v>19</v>
      </c>
      <c r="R12" s="5">
        <v>1</v>
      </c>
      <c r="S12" s="5">
        <v>2</v>
      </c>
      <c r="T12" s="5">
        <v>16</v>
      </c>
      <c r="U12" s="5">
        <v>12</v>
      </c>
      <c r="V12" s="5">
        <v>45</v>
      </c>
      <c r="W12" s="5">
        <v>-33</v>
      </c>
      <c r="X12" s="5">
        <v>5</v>
      </c>
      <c r="Y12" s="5">
        <v>0.26</v>
      </c>
      <c r="Z12" s="5">
        <v>17.3</v>
      </c>
      <c r="AA12" s="5">
        <v>40.4</v>
      </c>
      <c r="AB12" s="5">
        <v>-23.1</v>
      </c>
      <c r="AC12" s="5">
        <v>-1.22</v>
      </c>
    </row>
    <row r="13" spans="1:29" x14ac:dyDescent="0.15">
      <c r="A13" s="5">
        <v>20</v>
      </c>
      <c r="B13" s="3" t="s">
        <v>19</v>
      </c>
      <c r="C13" s="8">
        <v>23203</v>
      </c>
      <c r="D13" s="5">
        <v>19</v>
      </c>
      <c r="E13" s="5">
        <v>2</v>
      </c>
      <c r="F13" s="5">
        <v>3</v>
      </c>
      <c r="G13" s="5">
        <v>14</v>
      </c>
      <c r="H13" s="5">
        <v>10</v>
      </c>
      <c r="I13" s="5">
        <v>31</v>
      </c>
      <c r="J13" s="5">
        <v>-21</v>
      </c>
      <c r="K13" s="5">
        <v>9</v>
      </c>
      <c r="L13" s="5">
        <v>0.47</v>
      </c>
      <c r="M13" s="5">
        <v>16.2</v>
      </c>
      <c r="N13" s="5">
        <v>28</v>
      </c>
      <c r="O13" s="5">
        <v>-11.8</v>
      </c>
      <c r="P13" s="5">
        <v>-0.62</v>
      </c>
      <c r="Q13" s="5">
        <v>19</v>
      </c>
      <c r="R13" s="5">
        <v>1</v>
      </c>
      <c r="S13" s="5">
        <v>4</v>
      </c>
      <c r="T13" s="5">
        <v>14</v>
      </c>
      <c r="U13" s="5">
        <v>12</v>
      </c>
      <c r="V13" s="5">
        <v>45</v>
      </c>
      <c r="W13" s="5">
        <v>-33</v>
      </c>
      <c r="X13" s="5">
        <v>7</v>
      </c>
      <c r="Y13" s="5">
        <v>0.37</v>
      </c>
      <c r="Z13" s="5">
        <v>12.6</v>
      </c>
      <c r="AA13" s="5">
        <v>32.9</v>
      </c>
      <c r="AB13" s="5">
        <v>-20.3</v>
      </c>
      <c r="AC13" s="5">
        <v>-1.07</v>
      </c>
    </row>
    <row r="14" spans="1:29" x14ac:dyDescent="0.15">
      <c r="A14" s="5">
        <v>9</v>
      </c>
      <c r="B14" s="3" t="s">
        <v>8</v>
      </c>
      <c r="C14" s="8">
        <v>31851</v>
      </c>
      <c r="D14" s="5">
        <v>19</v>
      </c>
      <c r="E14" s="5">
        <v>8</v>
      </c>
      <c r="F14" s="5">
        <v>3</v>
      </c>
      <c r="G14" s="5">
        <v>8</v>
      </c>
      <c r="H14" s="5">
        <v>24</v>
      </c>
      <c r="I14" s="5">
        <v>20</v>
      </c>
      <c r="J14" s="5">
        <v>4</v>
      </c>
      <c r="K14" s="5">
        <v>27</v>
      </c>
      <c r="L14" s="5">
        <v>1.42</v>
      </c>
      <c r="M14" s="5">
        <v>26.3</v>
      </c>
      <c r="N14" s="5">
        <v>19.899999999999999</v>
      </c>
      <c r="O14" s="5">
        <v>6.5</v>
      </c>
      <c r="P14" s="5">
        <v>0.34</v>
      </c>
      <c r="Q14" s="5">
        <v>19</v>
      </c>
      <c r="R14" s="5">
        <v>7</v>
      </c>
      <c r="S14" s="5">
        <v>4</v>
      </c>
      <c r="T14" s="5">
        <v>8</v>
      </c>
      <c r="U14" s="5">
        <v>27</v>
      </c>
      <c r="V14" s="5">
        <v>28</v>
      </c>
      <c r="W14" s="5">
        <v>-1</v>
      </c>
      <c r="X14" s="5">
        <v>25</v>
      </c>
      <c r="Y14" s="5">
        <v>1.32</v>
      </c>
      <c r="Z14" s="5">
        <v>26.1</v>
      </c>
      <c r="AA14" s="5">
        <v>23.8</v>
      </c>
      <c r="AB14" s="5">
        <v>2.2999999999999998</v>
      </c>
      <c r="AC14" s="5">
        <v>0.12</v>
      </c>
    </row>
    <row r="15" spans="1:29" x14ac:dyDescent="0.15">
      <c r="A15" s="5">
        <v>2</v>
      </c>
      <c r="B15" s="3" t="s">
        <v>1</v>
      </c>
      <c r="C15" s="8">
        <v>52983</v>
      </c>
      <c r="D15" s="5">
        <v>19</v>
      </c>
      <c r="E15" s="5">
        <v>17</v>
      </c>
      <c r="F15" s="5">
        <v>2</v>
      </c>
      <c r="G15" s="5">
        <v>0</v>
      </c>
      <c r="H15" s="5">
        <v>55</v>
      </c>
      <c r="I15" s="5">
        <v>10</v>
      </c>
      <c r="J15" s="5">
        <v>45</v>
      </c>
      <c r="K15" s="5">
        <v>53</v>
      </c>
      <c r="L15" s="5">
        <v>2.79</v>
      </c>
      <c r="M15" s="5">
        <v>42.2</v>
      </c>
      <c r="N15" s="5">
        <v>13.2</v>
      </c>
      <c r="O15" s="5">
        <v>28.9</v>
      </c>
      <c r="P15" s="5">
        <v>1.52</v>
      </c>
      <c r="Q15" s="5">
        <v>19</v>
      </c>
      <c r="R15" s="5">
        <v>13</v>
      </c>
      <c r="S15" s="5">
        <v>5</v>
      </c>
      <c r="T15" s="5">
        <v>1</v>
      </c>
      <c r="U15" s="5">
        <v>34</v>
      </c>
      <c r="V15" s="5">
        <v>12</v>
      </c>
      <c r="W15" s="5">
        <v>22</v>
      </c>
      <c r="X15" s="5">
        <v>44</v>
      </c>
      <c r="Y15" s="5">
        <v>2.3199999999999998</v>
      </c>
      <c r="Z15" s="5">
        <v>31.6</v>
      </c>
      <c r="AA15" s="5">
        <v>15.6</v>
      </c>
      <c r="AB15" s="5">
        <v>16</v>
      </c>
      <c r="AC15" s="5">
        <v>0.84</v>
      </c>
    </row>
    <row r="16" spans="1:29" x14ac:dyDescent="0.15">
      <c r="A16" s="5">
        <v>1</v>
      </c>
      <c r="B16" s="3" t="s">
        <v>0</v>
      </c>
      <c r="C16" s="8">
        <v>54130</v>
      </c>
      <c r="D16" s="5">
        <v>19</v>
      </c>
      <c r="E16" s="5">
        <v>18</v>
      </c>
      <c r="F16" s="5">
        <v>0</v>
      </c>
      <c r="G16" s="5">
        <v>1</v>
      </c>
      <c r="H16" s="5">
        <v>57</v>
      </c>
      <c r="I16" s="5">
        <v>12</v>
      </c>
      <c r="J16" s="5">
        <v>45</v>
      </c>
      <c r="K16" s="5">
        <v>54</v>
      </c>
      <c r="L16" s="5">
        <v>2.84</v>
      </c>
      <c r="M16" s="5">
        <v>50.1</v>
      </c>
      <c r="N16" s="5">
        <v>13.5</v>
      </c>
      <c r="O16" s="5">
        <v>36.6</v>
      </c>
      <c r="P16" s="5">
        <v>1.93</v>
      </c>
      <c r="Q16" s="5">
        <v>19</v>
      </c>
      <c r="R16" s="5">
        <v>14</v>
      </c>
      <c r="S16" s="5">
        <v>2</v>
      </c>
      <c r="T16" s="5">
        <v>3</v>
      </c>
      <c r="U16" s="5">
        <v>38</v>
      </c>
      <c r="V16" s="5">
        <v>11</v>
      </c>
      <c r="W16" s="5">
        <v>27</v>
      </c>
      <c r="X16" s="5">
        <v>44</v>
      </c>
      <c r="Y16" s="5">
        <v>2.3199999999999998</v>
      </c>
      <c r="Z16" s="5">
        <v>34.200000000000003</v>
      </c>
      <c r="AA16" s="5">
        <v>11.3</v>
      </c>
      <c r="AB16" s="5">
        <v>23</v>
      </c>
      <c r="AC16" s="5">
        <v>1.21</v>
      </c>
    </row>
    <row r="17" spans="1:29" x14ac:dyDescent="0.15">
      <c r="A17" s="5">
        <v>6</v>
      </c>
      <c r="B17" s="3" t="s">
        <v>5</v>
      </c>
      <c r="C17" s="8">
        <v>74498</v>
      </c>
      <c r="D17" s="5">
        <v>19</v>
      </c>
      <c r="E17" s="5">
        <v>10</v>
      </c>
      <c r="F17" s="5">
        <v>6</v>
      </c>
      <c r="G17" s="5">
        <v>3</v>
      </c>
      <c r="H17" s="5">
        <v>33</v>
      </c>
      <c r="I17" s="5">
        <v>25</v>
      </c>
      <c r="J17" s="5">
        <v>8</v>
      </c>
      <c r="K17" s="5">
        <v>36</v>
      </c>
      <c r="L17" s="5">
        <v>1.89</v>
      </c>
      <c r="M17" s="5">
        <v>31.8</v>
      </c>
      <c r="N17" s="5">
        <v>21.6</v>
      </c>
      <c r="O17" s="5">
        <v>10.199999999999999</v>
      </c>
      <c r="P17" s="5">
        <v>0.54</v>
      </c>
      <c r="Q17" s="5">
        <v>19</v>
      </c>
      <c r="R17" s="5">
        <v>9</v>
      </c>
      <c r="S17" s="5">
        <v>3</v>
      </c>
      <c r="T17" s="5">
        <v>7</v>
      </c>
      <c r="U17" s="5">
        <v>32</v>
      </c>
      <c r="V17" s="5">
        <v>29</v>
      </c>
      <c r="W17" s="5">
        <v>3</v>
      </c>
      <c r="X17" s="5">
        <v>30</v>
      </c>
      <c r="Y17" s="5">
        <v>1.58</v>
      </c>
      <c r="Z17" s="5">
        <v>29.7</v>
      </c>
      <c r="AA17" s="5">
        <v>29</v>
      </c>
      <c r="AB17" s="5">
        <v>0.6</v>
      </c>
      <c r="AC17" s="5">
        <v>0.03</v>
      </c>
    </row>
    <row r="18" spans="1:29" x14ac:dyDescent="0.15">
      <c r="A18" s="5">
        <v>13</v>
      </c>
      <c r="B18" s="3" t="s">
        <v>12</v>
      </c>
      <c r="C18" s="8">
        <v>51121</v>
      </c>
      <c r="D18" s="5">
        <v>19</v>
      </c>
      <c r="E18" s="5">
        <v>8</v>
      </c>
      <c r="F18" s="5">
        <v>1</v>
      </c>
      <c r="G18" s="5">
        <v>10</v>
      </c>
      <c r="H18" s="5">
        <v>24</v>
      </c>
      <c r="I18" s="5">
        <v>25</v>
      </c>
      <c r="J18" s="5">
        <v>-1</v>
      </c>
      <c r="K18" s="5">
        <v>25</v>
      </c>
      <c r="L18" s="5">
        <v>1.32</v>
      </c>
      <c r="M18" s="5">
        <v>22.6</v>
      </c>
      <c r="N18" s="5">
        <v>25.2</v>
      </c>
      <c r="O18" s="5">
        <v>-2.6</v>
      </c>
      <c r="P18" s="5">
        <v>-0.14000000000000001</v>
      </c>
      <c r="Q18" s="5">
        <v>19</v>
      </c>
      <c r="R18" s="5">
        <v>4</v>
      </c>
      <c r="S18" s="5">
        <v>8</v>
      </c>
      <c r="T18" s="5">
        <v>7</v>
      </c>
      <c r="U18" s="5">
        <v>18</v>
      </c>
      <c r="V18" s="5">
        <v>23</v>
      </c>
      <c r="W18" s="5">
        <v>-5</v>
      </c>
      <c r="X18" s="5">
        <v>20</v>
      </c>
      <c r="Y18" s="5">
        <v>1.05</v>
      </c>
      <c r="Z18" s="5">
        <v>16.5</v>
      </c>
      <c r="AA18" s="5">
        <v>28.3</v>
      </c>
      <c r="AB18" s="5">
        <v>-11.9</v>
      </c>
      <c r="AC18" s="5">
        <v>-0.62</v>
      </c>
    </row>
    <row r="19" spans="1:29" x14ac:dyDescent="0.15">
      <c r="A19" s="5">
        <v>16</v>
      </c>
      <c r="B19" s="3" t="s">
        <v>15</v>
      </c>
      <c r="C19" s="8">
        <v>30139</v>
      </c>
      <c r="D19" s="5">
        <v>19</v>
      </c>
      <c r="E19" s="5">
        <v>5</v>
      </c>
      <c r="F19" s="5">
        <v>8</v>
      </c>
      <c r="G19" s="5">
        <v>6</v>
      </c>
      <c r="H19" s="5">
        <v>27</v>
      </c>
      <c r="I19" s="5">
        <v>30</v>
      </c>
      <c r="J19" s="5">
        <v>-3</v>
      </c>
      <c r="K19" s="5">
        <v>23</v>
      </c>
      <c r="L19" s="5">
        <v>1.21</v>
      </c>
      <c r="M19" s="5">
        <v>24.6</v>
      </c>
      <c r="N19" s="5">
        <v>25</v>
      </c>
      <c r="O19" s="5">
        <v>-0.4</v>
      </c>
      <c r="P19" s="5">
        <v>-0.02</v>
      </c>
      <c r="Q19" s="5">
        <v>19</v>
      </c>
      <c r="R19" s="5">
        <v>4</v>
      </c>
      <c r="S19" s="5">
        <v>4</v>
      </c>
      <c r="T19" s="5">
        <v>11</v>
      </c>
      <c r="U19" s="5">
        <v>18</v>
      </c>
      <c r="V19" s="5">
        <v>35</v>
      </c>
      <c r="W19" s="5">
        <v>-17</v>
      </c>
      <c r="X19" s="5">
        <v>16</v>
      </c>
      <c r="Y19" s="5">
        <v>0.84</v>
      </c>
      <c r="Z19" s="5">
        <v>22.3</v>
      </c>
      <c r="AA19" s="5">
        <v>30.1</v>
      </c>
      <c r="AB19" s="5">
        <v>-7.8</v>
      </c>
      <c r="AC19" s="5">
        <v>-0.41</v>
      </c>
    </row>
    <row r="20" spans="1:29" x14ac:dyDescent="0.15">
      <c r="A20" s="5">
        <v>4</v>
      </c>
      <c r="B20" s="3" t="s">
        <v>3</v>
      </c>
      <c r="C20" s="8">
        <v>54216</v>
      </c>
      <c r="D20" s="5">
        <v>19</v>
      </c>
      <c r="E20" s="5">
        <v>12</v>
      </c>
      <c r="F20" s="5">
        <v>2</v>
      </c>
      <c r="G20" s="5">
        <v>5</v>
      </c>
      <c r="H20" s="5">
        <v>34</v>
      </c>
      <c r="I20" s="5">
        <v>16</v>
      </c>
      <c r="J20" s="5">
        <v>18</v>
      </c>
      <c r="K20" s="5">
        <v>38</v>
      </c>
      <c r="L20" s="5">
        <v>2</v>
      </c>
      <c r="M20" s="5">
        <v>31.3</v>
      </c>
      <c r="N20" s="5">
        <v>24.3</v>
      </c>
      <c r="O20" s="5">
        <v>6.9</v>
      </c>
      <c r="P20" s="5">
        <v>0.36</v>
      </c>
      <c r="Q20" s="5">
        <v>19</v>
      </c>
      <c r="R20" s="5">
        <v>11</v>
      </c>
      <c r="S20" s="5">
        <v>0</v>
      </c>
      <c r="T20" s="5">
        <v>8</v>
      </c>
      <c r="U20" s="5">
        <v>33</v>
      </c>
      <c r="V20" s="5">
        <v>23</v>
      </c>
      <c r="W20" s="5">
        <v>10</v>
      </c>
      <c r="X20" s="5">
        <v>33</v>
      </c>
      <c r="Y20" s="5">
        <v>1.74</v>
      </c>
      <c r="Z20" s="5">
        <v>23.6</v>
      </c>
      <c r="AA20" s="5">
        <v>22.8</v>
      </c>
      <c r="AB20" s="5">
        <v>0.8</v>
      </c>
      <c r="AC20" s="5">
        <v>0.04</v>
      </c>
    </row>
    <row r="21" spans="1:29" x14ac:dyDescent="0.15">
      <c r="A21" s="5">
        <v>11</v>
      </c>
      <c r="B21" s="3" t="s">
        <v>10</v>
      </c>
      <c r="C21" s="8">
        <v>20016</v>
      </c>
      <c r="D21" s="5">
        <v>19</v>
      </c>
      <c r="E21" s="5">
        <v>8</v>
      </c>
      <c r="F21" s="5">
        <v>3</v>
      </c>
      <c r="G21" s="5">
        <v>8</v>
      </c>
      <c r="H21" s="5">
        <v>26</v>
      </c>
      <c r="I21" s="5">
        <v>28</v>
      </c>
      <c r="J21" s="5">
        <v>-2</v>
      </c>
      <c r="K21" s="5">
        <v>27</v>
      </c>
      <c r="L21" s="5">
        <v>1.42</v>
      </c>
      <c r="M21" s="5">
        <v>23.1</v>
      </c>
      <c r="N21" s="5">
        <v>29.2</v>
      </c>
      <c r="O21" s="5">
        <v>-6.2</v>
      </c>
      <c r="P21" s="5">
        <v>-0.32</v>
      </c>
      <c r="Q21" s="5">
        <v>19</v>
      </c>
      <c r="R21" s="5">
        <v>6</v>
      </c>
      <c r="S21" s="5">
        <v>5</v>
      </c>
      <c r="T21" s="5">
        <v>8</v>
      </c>
      <c r="U21" s="5">
        <v>26</v>
      </c>
      <c r="V21" s="5">
        <v>31</v>
      </c>
      <c r="W21" s="5">
        <v>-5</v>
      </c>
      <c r="X21" s="5">
        <v>23</v>
      </c>
      <c r="Y21" s="5">
        <v>1.21</v>
      </c>
      <c r="Z21" s="5">
        <v>25.2</v>
      </c>
      <c r="AA21" s="5">
        <v>30</v>
      </c>
      <c r="AB21" s="5">
        <v>-4.8</v>
      </c>
      <c r="AC21" s="5">
        <v>-0.25</v>
      </c>
    </row>
    <row r="22" spans="1:29" x14ac:dyDescent="0.15">
      <c r="A22" s="5">
        <v>10</v>
      </c>
      <c r="B22" s="3" t="s">
        <v>9</v>
      </c>
      <c r="C22" s="8">
        <v>58336</v>
      </c>
      <c r="D22" s="5">
        <v>19</v>
      </c>
      <c r="E22" s="5">
        <v>9</v>
      </c>
      <c r="F22" s="5">
        <v>4</v>
      </c>
      <c r="G22" s="5">
        <v>6</v>
      </c>
      <c r="H22" s="5">
        <v>32</v>
      </c>
      <c r="I22" s="5">
        <v>27</v>
      </c>
      <c r="J22" s="5">
        <v>5</v>
      </c>
      <c r="K22" s="5">
        <v>31</v>
      </c>
      <c r="L22" s="5">
        <v>1.63</v>
      </c>
      <c r="M22" s="5">
        <v>25.2</v>
      </c>
      <c r="N22" s="5">
        <v>23.3</v>
      </c>
      <c r="O22" s="5">
        <v>1.9</v>
      </c>
      <c r="P22" s="5">
        <v>0.1</v>
      </c>
      <c r="Q22" s="5">
        <v>19</v>
      </c>
      <c r="R22" s="5">
        <v>6</v>
      </c>
      <c r="S22" s="5">
        <v>3</v>
      </c>
      <c r="T22" s="5">
        <v>10</v>
      </c>
      <c r="U22" s="5">
        <v>20</v>
      </c>
      <c r="V22" s="5">
        <v>28</v>
      </c>
      <c r="W22" s="5">
        <v>-8</v>
      </c>
      <c r="X22" s="5">
        <v>21</v>
      </c>
      <c r="Y22" s="5">
        <v>1.1100000000000001</v>
      </c>
      <c r="Z22" s="5">
        <v>22.5</v>
      </c>
      <c r="AA22" s="5">
        <v>38.6</v>
      </c>
      <c r="AB22" s="5">
        <v>-16.2</v>
      </c>
      <c r="AC22" s="5">
        <v>-0.85</v>
      </c>
    </row>
    <row r="23" spans="1:29" x14ac:dyDescent="0.15">
      <c r="A23" s="5">
        <v>7</v>
      </c>
      <c r="B23" s="3" t="s">
        <v>6</v>
      </c>
      <c r="C23" s="8">
        <v>31030</v>
      </c>
      <c r="D23" s="5">
        <v>19</v>
      </c>
      <c r="E23" s="5">
        <v>10</v>
      </c>
      <c r="F23" s="5">
        <v>4</v>
      </c>
      <c r="G23" s="5">
        <v>5</v>
      </c>
      <c r="H23" s="5">
        <v>28</v>
      </c>
      <c r="I23" s="5">
        <v>21</v>
      </c>
      <c r="J23" s="5">
        <v>7</v>
      </c>
      <c r="K23" s="5">
        <v>34</v>
      </c>
      <c r="L23" s="5">
        <v>1.79</v>
      </c>
      <c r="M23" s="5">
        <v>31.3</v>
      </c>
      <c r="N23" s="5">
        <v>18.899999999999999</v>
      </c>
      <c r="O23" s="5">
        <v>12.4</v>
      </c>
      <c r="P23" s="5">
        <v>0.65</v>
      </c>
      <c r="Q23" s="5">
        <v>19</v>
      </c>
      <c r="R23" s="5">
        <v>6</v>
      </c>
      <c r="S23" s="5">
        <v>5</v>
      </c>
      <c r="T23" s="5">
        <v>8</v>
      </c>
      <c r="U23" s="5">
        <v>19</v>
      </c>
      <c r="V23" s="5">
        <v>25</v>
      </c>
      <c r="W23" s="5">
        <v>-6</v>
      </c>
      <c r="X23" s="5">
        <v>23</v>
      </c>
      <c r="Y23" s="5">
        <v>1.21</v>
      </c>
      <c r="Z23" s="5">
        <v>20.9</v>
      </c>
      <c r="AA23" s="5">
        <v>23.2</v>
      </c>
      <c r="AB23" s="5">
        <v>-2.2999999999999998</v>
      </c>
      <c r="AC23" s="5">
        <v>-0.12</v>
      </c>
    </row>
    <row r="25" spans="1:29" x14ac:dyDescent="0.15">
      <c r="A25" s="159" t="s">
        <v>20</v>
      </c>
      <c r="B25" s="4" t="s">
        <v>21</v>
      </c>
      <c r="C25" s="159" t="s">
        <v>37</v>
      </c>
      <c r="D25" s="159" t="s">
        <v>35</v>
      </c>
      <c r="E25" s="159"/>
      <c r="F25" s="159"/>
      <c r="G25" s="159"/>
      <c r="H25" s="159"/>
      <c r="I25" s="159"/>
      <c r="J25" s="159"/>
      <c r="K25" s="159"/>
      <c r="L25" s="159"/>
      <c r="M25" s="159"/>
      <c r="N25" s="159"/>
      <c r="O25" s="159"/>
      <c r="P25" s="159"/>
      <c r="Q25" s="159" t="s">
        <v>36</v>
      </c>
      <c r="R25" s="159"/>
      <c r="S25" s="159"/>
      <c r="T25" s="159"/>
      <c r="U25" s="159"/>
      <c r="V25" s="159"/>
      <c r="W25" s="159"/>
      <c r="X25" s="159"/>
      <c r="Y25" s="159"/>
      <c r="Z25" s="159"/>
      <c r="AA25" s="159"/>
      <c r="AB25" s="159"/>
      <c r="AC25" s="159"/>
    </row>
    <row r="26" spans="1:29" x14ac:dyDescent="0.15">
      <c r="A26" s="159"/>
      <c r="B26" s="4" t="s">
        <v>39</v>
      </c>
      <c r="C26" s="159"/>
      <c r="D26" s="4" t="s">
        <v>22</v>
      </c>
      <c r="E26" s="4" t="s">
        <v>23</v>
      </c>
      <c r="F26" s="4" t="s">
        <v>24</v>
      </c>
      <c r="G26" s="4" t="s">
        <v>25</v>
      </c>
      <c r="H26" s="4" t="s">
        <v>26</v>
      </c>
      <c r="I26" s="4" t="s">
        <v>27</v>
      </c>
      <c r="J26" s="4" t="s">
        <v>28</v>
      </c>
      <c r="K26" s="4" t="s">
        <v>29</v>
      </c>
      <c r="L26" s="4" t="s">
        <v>30</v>
      </c>
      <c r="M26" s="4" t="s">
        <v>31</v>
      </c>
      <c r="N26" s="4" t="s">
        <v>32</v>
      </c>
      <c r="O26" s="4" t="s">
        <v>33</v>
      </c>
      <c r="P26" s="4" t="s">
        <v>34</v>
      </c>
      <c r="Q26" s="4" t="s">
        <v>22</v>
      </c>
      <c r="R26" s="4" t="s">
        <v>23</v>
      </c>
      <c r="S26" s="4" t="s">
        <v>24</v>
      </c>
      <c r="T26" s="4" t="s">
        <v>25</v>
      </c>
      <c r="U26" s="4" t="s">
        <v>26</v>
      </c>
      <c r="V26" s="4" t="s">
        <v>27</v>
      </c>
      <c r="W26" s="4" t="s">
        <v>28</v>
      </c>
      <c r="X26" s="4" t="s">
        <v>29</v>
      </c>
      <c r="Y26" s="4" t="s">
        <v>30</v>
      </c>
      <c r="Z26" s="4" t="s">
        <v>31</v>
      </c>
      <c r="AA26" s="4" t="s">
        <v>32</v>
      </c>
      <c r="AB26" s="4" t="s">
        <v>33</v>
      </c>
      <c r="AC26" s="4" t="s">
        <v>34</v>
      </c>
    </row>
    <row r="27" spans="1:29" x14ac:dyDescent="0.15">
      <c r="A27" s="5">
        <v>8</v>
      </c>
      <c r="B27" s="3" t="s">
        <v>4</v>
      </c>
      <c r="C27" s="5">
        <v>632</v>
      </c>
      <c r="D27" s="5">
        <v>19</v>
      </c>
      <c r="E27" s="5">
        <v>8</v>
      </c>
      <c r="F27" s="5">
        <v>4</v>
      </c>
      <c r="G27" s="5">
        <v>7</v>
      </c>
      <c r="H27" s="5">
        <v>24</v>
      </c>
      <c r="I27" s="5">
        <v>21</v>
      </c>
      <c r="J27" s="5">
        <v>3</v>
      </c>
      <c r="K27" s="5">
        <v>28</v>
      </c>
      <c r="L27" s="5">
        <v>1.47</v>
      </c>
      <c r="M27" s="5">
        <v>23</v>
      </c>
      <c r="N27" s="5">
        <v>23.2</v>
      </c>
      <c r="O27" s="5">
        <v>-0.2</v>
      </c>
      <c r="P27" s="5">
        <v>-0.01</v>
      </c>
      <c r="Q27" s="5">
        <v>19</v>
      </c>
      <c r="R27" s="5">
        <v>10</v>
      </c>
      <c r="S27" s="5">
        <v>3</v>
      </c>
      <c r="T27" s="5">
        <v>6</v>
      </c>
      <c r="U27" s="5">
        <v>31</v>
      </c>
      <c r="V27" s="5">
        <v>18</v>
      </c>
      <c r="W27" s="5">
        <v>13</v>
      </c>
      <c r="X27" s="5">
        <v>33</v>
      </c>
      <c r="Y27" s="5">
        <v>1.74</v>
      </c>
      <c r="Z27" s="5">
        <v>28.8</v>
      </c>
      <c r="AA27" s="5">
        <v>19.8</v>
      </c>
      <c r="AB27" s="5">
        <v>9</v>
      </c>
      <c r="AC27" s="5">
        <v>0.47</v>
      </c>
    </row>
    <row r="28" spans="1:29" x14ac:dyDescent="0.15">
      <c r="A28" s="5">
        <v>11</v>
      </c>
      <c r="B28" s="3" t="s">
        <v>40</v>
      </c>
      <c r="C28" s="5">
        <v>526</v>
      </c>
      <c r="D28" s="5">
        <v>19</v>
      </c>
      <c r="E28" s="5">
        <v>7</v>
      </c>
      <c r="F28" s="5">
        <v>4</v>
      </c>
      <c r="G28" s="5">
        <v>8</v>
      </c>
      <c r="H28" s="5">
        <v>29</v>
      </c>
      <c r="I28" s="5">
        <v>27</v>
      </c>
      <c r="J28" s="5">
        <v>2</v>
      </c>
      <c r="K28" s="5">
        <v>25</v>
      </c>
      <c r="L28" s="5">
        <v>1.32</v>
      </c>
      <c r="M28" s="5">
        <v>27.9</v>
      </c>
      <c r="N28" s="5">
        <v>25.9</v>
      </c>
      <c r="O28" s="5">
        <v>2</v>
      </c>
      <c r="P28" s="5">
        <v>0.11</v>
      </c>
      <c r="Q28" s="5">
        <v>19</v>
      </c>
      <c r="R28" s="5">
        <v>9</v>
      </c>
      <c r="S28" s="5">
        <v>3</v>
      </c>
      <c r="T28" s="5">
        <v>7</v>
      </c>
      <c r="U28" s="5">
        <v>26</v>
      </c>
      <c r="V28" s="5">
        <v>19</v>
      </c>
      <c r="W28" s="5">
        <v>7</v>
      </c>
      <c r="X28" s="5">
        <v>30</v>
      </c>
      <c r="Y28" s="5">
        <v>1.58</v>
      </c>
      <c r="Z28" s="5">
        <v>24.6</v>
      </c>
      <c r="AA28" s="5">
        <v>25.2</v>
      </c>
      <c r="AB28" s="5">
        <v>-0.6</v>
      </c>
      <c r="AC28" s="5">
        <v>-0.03</v>
      </c>
    </row>
    <row r="29" spans="1:29" x14ac:dyDescent="0.15">
      <c r="A29" s="5">
        <v>16</v>
      </c>
      <c r="B29" s="3" t="s">
        <v>16</v>
      </c>
      <c r="C29" s="5">
        <v>523</v>
      </c>
      <c r="D29" s="5">
        <v>19</v>
      </c>
      <c r="E29" s="5">
        <v>4</v>
      </c>
      <c r="F29" s="5">
        <v>9</v>
      </c>
      <c r="G29" s="5">
        <v>6</v>
      </c>
      <c r="H29" s="5">
        <v>22</v>
      </c>
      <c r="I29" s="5">
        <v>22</v>
      </c>
      <c r="J29" s="5">
        <v>0</v>
      </c>
      <c r="K29" s="5">
        <v>21</v>
      </c>
      <c r="L29" s="5">
        <v>1.1100000000000001</v>
      </c>
      <c r="M29" s="5">
        <v>30.6</v>
      </c>
      <c r="N29" s="5">
        <v>14.2</v>
      </c>
      <c r="O29" s="5">
        <v>16.399999999999999</v>
      </c>
      <c r="P29" s="5">
        <v>0.86</v>
      </c>
      <c r="Q29" s="5">
        <v>19</v>
      </c>
      <c r="R29" s="5">
        <v>5</v>
      </c>
      <c r="S29" s="5">
        <v>5</v>
      </c>
      <c r="T29" s="5">
        <v>9</v>
      </c>
      <c r="U29" s="5">
        <v>18</v>
      </c>
      <c r="V29" s="5">
        <v>24</v>
      </c>
      <c r="W29" s="5">
        <v>-6</v>
      </c>
      <c r="X29" s="5">
        <v>20</v>
      </c>
      <c r="Y29" s="5">
        <v>1.05</v>
      </c>
      <c r="Z29" s="5">
        <v>20.2</v>
      </c>
      <c r="AA29" s="5">
        <v>21.1</v>
      </c>
      <c r="AB29" s="5">
        <v>-0.8</v>
      </c>
      <c r="AC29" s="5">
        <v>-0.04</v>
      </c>
    </row>
    <row r="30" spans="1:29" x14ac:dyDescent="0.15">
      <c r="A30" s="5">
        <v>17</v>
      </c>
      <c r="B30" s="3" t="s">
        <v>14</v>
      </c>
      <c r="C30" s="5">
        <v>178</v>
      </c>
      <c r="D30" s="5">
        <v>19</v>
      </c>
      <c r="E30" s="5">
        <v>4</v>
      </c>
      <c r="F30" s="5">
        <v>6</v>
      </c>
      <c r="G30" s="5">
        <v>9</v>
      </c>
      <c r="H30" s="5">
        <v>14</v>
      </c>
      <c r="I30" s="5">
        <v>27</v>
      </c>
      <c r="J30" s="5">
        <v>-13</v>
      </c>
      <c r="K30" s="5">
        <v>18</v>
      </c>
      <c r="L30" s="5">
        <v>0.95</v>
      </c>
      <c r="M30" s="5">
        <v>20.5</v>
      </c>
      <c r="N30" s="5">
        <v>27.3</v>
      </c>
      <c r="O30" s="5">
        <v>-6.8</v>
      </c>
      <c r="P30" s="5">
        <v>-0.36</v>
      </c>
      <c r="Q30" s="5">
        <v>19</v>
      </c>
      <c r="R30" s="5">
        <v>6</v>
      </c>
      <c r="S30" s="5">
        <v>3</v>
      </c>
      <c r="T30" s="5">
        <v>10</v>
      </c>
      <c r="U30" s="5">
        <v>19</v>
      </c>
      <c r="V30" s="5">
        <v>28</v>
      </c>
      <c r="W30" s="5">
        <v>-9</v>
      </c>
      <c r="X30" s="5">
        <v>21</v>
      </c>
      <c r="Y30" s="5">
        <v>1.1100000000000001</v>
      </c>
      <c r="Z30" s="5">
        <v>18.8</v>
      </c>
      <c r="AA30" s="5">
        <v>27.3</v>
      </c>
      <c r="AB30" s="5">
        <v>-8.6</v>
      </c>
      <c r="AC30" s="5">
        <v>-0.45</v>
      </c>
    </row>
    <row r="31" spans="1:29" x14ac:dyDescent="0.15">
      <c r="A31" s="5">
        <v>4</v>
      </c>
      <c r="B31" s="3" t="s">
        <v>2</v>
      </c>
      <c r="C31" s="5">
        <v>526</v>
      </c>
      <c r="D31" s="5">
        <v>19</v>
      </c>
      <c r="E31" s="5">
        <v>9</v>
      </c>
      <c r="F31" s="5">
        <v>6</v>
      </c>
      <c r="G31" s="5">
        <v>4</v>
      </c>
      <c r="H31" s="5">
        <v>31</v>
      </c>
      <c r="I31" s="5">
        <v>18</v>
      </c>
      <c r="J31" s="5">
        <v>13</v>
      </c>
      <c r="K31" s="5">
        <v>33</v>
      </c>
      <c r="L31" s="5">
        <v>1.74</v>
      </c>
      <c r="M31" s="5">
        <v>34.1</v>
      </c>
      <c r="N31" s="5">
        <v>15.2</v>
      </c>
      <c r="O31" s="5">
        <v>18.899999999999999</v>
      </c>
      <c r="P31" s="5">
        <v>0.99</v>
      </c>
      <c r="Q31" s="5">
        <v>19</v>
      </c>
      <c r="R31" s="5">
        <v>10</v>
      </c>
      <c r="S31" s="5">
        <v>4</v>
      </c>
      <c r="T31" s="5">
        <v>5</v>
      </c>
      <c r="U31" s="5">
        <v>27</v>
      </c>
      <c r="V31" s="5">
        <v>18</v>
      </c>
      <c r="W31" s="5">
        <v>9</v>
      </c>
      <c r="X31" s="5">
        <v>34</v>
      </c>
      <c r="Y31" s="5">
        <v>1.79</v>
      </c>
      <c r="Z31" s="5">
        <v>28.3</v>
      </c>
      <c r="AA31" s="5">
        <v>15.1</v>
      </c>
      <c r="AB31" s="5">
        <v>13.2</v>
      </c>
      <c r="AC31" s="5">
        <v>0.7</v>
      </c>
    </row>
    <row r="32" spans="1:29" x14ac:dyDescent="0.15">
      <c r="A32" s="5">
        <v>14</v>
      </c>
      <c r="B32" s="3" t="s">
        <v>11</v>
      </c>
      <c r="C32" s="5">
        <v>447</v>
      </c>
      <c r="D32" s="5">
        <v>19</v>
      </c>
      <c r="E32" s="5">
        <v>6</v>
      </c>
      <c r="F32" s="5">
        <v>5</v>
      </c>
      <c r="G32" s="5">
        <v>8</v>
      </c>
      <c r="H32" s="5">
        <v>20</v>
      </c>
      <c r="I32" s="5">
        <v>32</v>
      </c>
      <c r="J32" s="5">
        <v>-12</v>
      </c>
      <c r="K32" s="5">
        <v>23</v>
      </c>
      <c r="L32" s="5">
        <v>1.21</v>
      </c>
      <c r="M32" s="5">
        <v>15.8</v>
      </c>
      <c r="N32" s="5">
        <v>28.1</v>
      </c>
      <c r="O32" s="5">
        <v>-12.3</v>
      </c>
      <c r="P32" s="5">
        <v>-0.65</v>
      </c>
      <c r="Q32" s="5">
        <v>19</v>
      </c>
      <c r="R32" s="5">
        <v>6</v>
      </c>
      <c r="S32" s="5">
        <v>3</v>
      </c>
      <c r="T32" s="5">
        <v>10</v>
      </c>
      <c r="U32" s="5">
        <v>21</v>
      </c>
      <c r="V32" s="5">
        <v>34</v>
      </c>
      <c r="W32" s="5">
        <v>-13</v>
      </c>
      <c r="X32" s="5">
        <v>21</v>
      </c>
      <c r="Y32" s="5">
        <v>1.1100000000000001</v>
      </c>
      <c r="Z32" s="5">
        <v>18.3</v>
      </c>
      <c r="AA32" s="5">
        <v>30.1</v>
      </c>
      <c r="AB32" s="5">
        <v>-11.8</v>
      </c>
      <c r="AC32" s="5">
        <v>-0.62</v>
      </c>
    </row>
    <row r="33" spans="1:29" x14ac:dyDescent="0.15">
      <c r="A33" s="5">
        <v>10</v>
      </c>
      <c r="B33" s="3" t="s">
        <v>7</v>
      </c>
      <c r="C33" s="5">
        <v>368</v>
      </c>
      <c r="D33" s="5">
        <v>19</v>
      </c>
      <c r="E33" s="5">
        <v>6</v>
      </c>
      <c r="F33" s="5">
        <v>4</v>
      </c>
      <c r="G33" s="5">
        <v>9</v>
      </c>
      <c r="H33" s="5">
        <v>24</v>
      </c>
      <c r="I33" s="5">
        <v>28</v>
      </c>
      <c r="J33" s="5">
        <v>-4</v>
      </c>
      <c r="K33" s="5">
        <v>22</v>
      </c>
      <c r="L33" s="5">
        <v>1.1599999999999999</v>
      </c>
      <c r="M33" s="5">
        <v>23.3</v>
      </c>
      <c r="N33" s="5">
        <v>25.1</v>
      </c>
      <c r="O33" s="5">
        <v>-1.8</v>
      </c>
      <c r="P33" s="5">
        <v>-0.1</v>
      </c>
      <c r="Q33" s="5">
        <v>19</v>
      </c>
      <c r="R33" s="5">
        <v>11</v>
      </c>
      <c r="S33" s="5">
        <v>4</v>
      </c>
      <c r="T33" s="5">
        <v>4</v>
      </c>
      <c r="U33" s="5">
        <v>23</v>
      </c>
      <c r="V33" s="5">
        <v>20</v>
      </c>
      <c r="W33" s="5">
        <v>3</v>
      </c>
      <c r="X33" s="5">
        <v>37</v>
      </c>
      <c r="Y33" s="5">
        <v>1.95</v>
      </c>
      <c r="Z33" s="5">
        <v>22.4</v>
      </c>
      <c r="AA33" s="5">
        <v>25</v>
      </c>
      <c r="AB33" s="5">
        <v>-2.6</v>
      </c>
      <c r="AC33" s="5">
        <v>-0.14000000000000001</v>
      </c>
    </row>
    <row r="34" spans="1:29" x14ac:dyDescent="0.15">
      <c r="A34" s="5">
        <v>18</v>
      </c>
      <c r="B34" s="3" t="s">
        <v>18</v>
      </c>
      <c r="C34" s="5">
        <v>211</v>
      </c>
      <c r="D34" s="5">
        <v>19</v>
      </c>
      <c r="E34" s="5">
        <v>2</v>
      </c>
      <c r="F34" s="5">
        <v>4</v>
      </c>
      <c r="G34" s="5">
        <v>13</v>
      </c>
      <c r="H34" s="5">
        <v>9</v>
      </c>
      <c r="I34" s="5">
        <v>28</v>
      </c>
      <c r="J34" s="5">
        <v>-19</v>
      </c>
      <c r="K34" s="5">
        <v>10</v>
      </c>
      <c r="L34" s="5">
        <v>0.53</v>
      </c>
      <c r="M34" s="5">
        <v>18.7</v>
      </c>
      <c r="N34" s="5">
        <v>25.9</v>
      </c>
      <c r="O34" s="5">
        <v>-7.2</v>
      </c>
      <c r="P34" s="5">
        <v>-0.38</v>
      </c>
      <c r="Q34" s="5">
        <v>19</v>
      </c>
      <c r="R34" s="5">
        <v>3</v>
      </c>
      <c r="S34" s="5">
        <v>9</v>
      </c>
      <c r="T34" s="5">
        <v>7</v>
      </c>
      <c r="U34" s="5">
        <v>18</v>
      </c>
      <c r="V34" s="5">
        <v>25</v>
      </c>
      <c r="W34" s="5">
        <v>-7</v>
      </c>
      <c r="X34" s="5">
        <v>18</v>
      </c>
      <c r="Y34" s="5">
        <v>0.95</v>
      </c>
      <c r="Z34" s="5">
        <v>21.8</v>
      </c>
      <c r="AA34" s="5">
        <v>26.7</v>
      </c>
      <c r="AB34" s="5">
        <v>-4.9000000000000004</v>
      </c>
      <c r="AC34" s="5">
        <v>-0.26</v>
      </c>
    </row>
    <row r="35" spans="1:29" x14ac:dyDescent="0.15">
      <c r="A35" s="5">
        <v>9</v>
      </c>
      <c r="B35" s="3" t="s">
        <v>43</v>
      </c>
      <c r="C35" s="5">
        <v>421</v>
      </c>
      <c r="D35" s="5">
        <v>19</v>
      </c>
      <c r="E35" s="5">
        <v>8</v>
      </c>
      <c r="F35" s="5">
        <v>5</v>
      </c>
      <c r="G35" s="5">
        <v>6</v>
      </c>
      <c r="H35" s="5">
        <v>28</v>
      </c>
      <c r="I35" s="5">
        <v>21</v>
      </c>
      <c r="J35" s="5">
        <v>7</v>
      </c>
      <c r="K35" s="5">
        <v>29</v>
      </c>
      <c r="L35" s="5">
        <v>1.53</v>
      </c>
      <c r="M35" s="5">
        <v>30.6</v>
      </c>
      <c r="N35" s="5">
        <v>22.9</v>
      </c>
      <c r="O35" s="5">
        <v>7.7</v>
      </c>
      <c r="P35" s="5">
        <v>0.41</v>
      </c>
      <c r="Q35" s="5">
        <v>19</v>
      </c>
      <c r="R35" s="5">
        <v>10</v>
      </c>
      <c r="S35" s="5">
        <v>0</v>
      </c>
      <c r="T35" s="5">
        <v>9</v>
      </c>
      <c r="U35" s="5">
        <v>34</v>
      </c>
      <c r="V35" s="5">
        <v>33</v>
      </c>
      <c r="W35" s="5">
        <v>1</v>
      </c>
      <c r="X35" s="5">
        <v>30</v>
      </c>
      <c r="Y35" s="5">
        <v>1.58</v>
      </c>
      <c r="Z35" s="5">
        <v>25</v>
      </c>
      <c r="AA35" s="5">
        <v>35</v>
      </c>
      <c r="AB35" s="5">
        <v>-10</v>
      </c>
      <c r="AC35" s="5">
        <v>-0.52</v>
      </c>
    </row>
    <row r="36" spans="1:29" x14ac:dyDescent="0.15">
      <c r="A36" s="5">
        <v>5</v>
      </c>
      <c r="B36" s="3" t="s">
        <v>8</v>
      </c>
      <c r="C36" s="5">
        <v>421</v>
      </c>
      <c r="D36" s="5">
        <v>19</v>
      </c>
      <c r="E36" s="5">
        <v>9</v>
      </c>
      <c r="F36" s="5">
        <v>1</v>
      </c>
      <c r="G36" s="5">
        <v>9</v>
      </c>
      <c r="H36" s="5">
        <v>34</v>
      </c>
      <c r="I36" s="5">
        <v>30</v>
      </c>
      <c r="J36" s="5">
        <v>4</v>
      </c>
      <c r="K36" s="5">
        <v>28</v>
      </c>
      <c r="L36" s="5">
        <v>1.47</v>
      </c>
      <c r="M36" s="5">
        <v>28.2</v>
      </c>
      <c r="N36" s="5">
        <v>25.6</v>
      </c>
      <c r="O36" s="5">
        <v>2.7</v>
      </c>
      <c r="P36" s="5">
        <v>0.14000000000000001</v>
      </c>
      <c r="Q36" s="5">
        <v>19</v>
      </c>
      <c r="R36" s="5">
        <v>11</v>
      </c>
      <c r="S36" s="5">
        <v>5</v>
      </c>
      <c r="T36" s="5">
        <v>3</v>
      </c>
      <c r="U36" s="5">
        <v>34</v>
      </c>
      <c r="V36" s="5">
        <v>20</v>
      </c>
      <c r="W36" s="5">
        <v>14</v>
      </c>
      <c r="X36" s="5">
        <v>38</v>
      </c>
      <c r="Y36" s="5">
        <v>2</v>
      </c>
      <c r="Z36" s="5">
        <v>27.6</v>
      </c>
      <c r="AA36" s="5">
        <v>20.399999999999999</v>
      </c>
      <c r="AB36" s="5">
        <v>7.2</v>
      </c>
      <c r="AC36" s="5">
        <v>0.38</v>
      </c>
    </row>
    <row r="37" spans="1:29" x14ac:dyDescent="0.15">
      <c r="A37" s="5">
        <v>3</v>
      </c>
      <c r="B37" s="3" t="s">
        <v>1</v>
      </c>
      <c r="C37" s="5">
        <v>837</v>
      </c>
      <c r="D37" s="5">
        <v>19</v>
      </c>
      <c r="E37" s="5">
        <v>10</v>
      </c>
      <c r="F37" s="5">
        <v>3</v>
      </c>
      <c r="G37" s="5">
        <v>6</v>
      </c>
      <c r="H37" s="5">
        <v>29</v>
      </c>
      <c r="I37" s="5">
        <v>20</v>
      </c>
      <c r="J37" s="5">
        <v>9</v>
      </c>
      <c r="K37" s="5">
        <v>33</v>
      </c>
      <c r="L37" s="5">
        <v>1.74</v>
      </c>
      <c r="M37" s="5">
        <v>31.5</v>
      </c>
      <c r="N37" s="5">
        <v>21.1</v>
      </c>
      <c r="O37" s="5">
        <v>10.4</v>
      </c>
      <c r="P37" s="5">
        <v>0.55000000000000004</v>
      </c>
      <c r="Q37" s="5">
        <v>19</v>
      </c>
      <c r="R37" s="5">
        <v>10</v>
      </c>
      <c r="S37" s="5">
        <v>6</v>
      </c>
      <c r="T37" s="5">
        <v>3</v>
      </c>
      <c r="U37" s="5">
        <v>39</v>
      </c>
      <c r="V37" s="5">
        <v>22</v>
      </c>
      <c r="W37" s="5">
        <v>17</v>
      </c>
      <c r="X37" s="5">
        <v>36</v>
      </c>
      <c r="Y37" s="5">
        <v>1.89</v>
      </c>
      <c r="Z37" s="5">
        <v>36</v>
      </c>
      <c r="AA37" s="5">
        <v>21.8</v>
      </c>
      <c r="AB37" s="5">
        <v>14.1</v>
      </c>
      <c r="AC37" s="5">
        <v>0.74</v>
      </c>
    </row>
    <row r="38" spans="1:29" x14ac:dyDescent="0.15">
      <c r="A38" s="5">
        <v>1</v>
      </c>
      <c r="B38" s="3" t="s">
        <v>0</v>
      </c>
      <c r="C38" s="5">
        <v>526</v>
      </c>
      <c r="D38" s="5">
        <v>19</v>
      </c>
      <c r="E38" s="5">
        <v>13</v>
      </c>
      <c r="F38" s="5">
        <v>2</v>
      </c>
      <c r="G38" s="5">
        <v>4</v>
      </c>
      <c r="H38" s="5">
        <v>43</v>
      </c>
      <c r="I38" s="5">
        <v>17</v>
      </c>
      <c r="J38" s="5">
        <v>26</v>
      </c>
      <c r="K38" s="5">
        <v>41</v>
      </c>
      <c r="L38" s="5">
        <v>2.16</v>
      </c>
      <c r="M38" s="5">
        <v>37.200000000000003</v>
      </c>
      <c r="N38" s="5">
        <v>14.9</v>
      </c>
      <c r="O38" s="5">
        <v>22.3</v>
      </c>
      <c r="P38" s="5">
        <v>1.18</v>
      </c>
      <c r="Q38" s="5">
        <v>19</v>
      </c>
      <c r="R38" s="5">
        <v>14</v>
      </c>
      <c r="S38" s="5">
        <v>3</v>
      </c>
      <c r="T38" s="5">
        <v>2</v>
      </c>
      <c r="U38" s="5">
        <v>40</v>
      </c>
      <c r="V38" s="5">
        <v>15</v>
      </c>
      <c r="W38" s="5">
        <v>25</v>
      </c>
      <c r="X38" s="5">
        <v>45</v>
      </c>
      <c r="Y38" s="5">
        <v>2.37</v>
      </c>
      <c r="Z38" s="5">
        <v>31</v>
      </c>
      <c r="AA38" s="5">
        <v>15.3</v>
      </c>
      <c r="AB38" s="5">
        <v>15.7</v>
      </c>
      <c r="AC38" s="5">
        <v>0.83</v>
      </c>
    </row>
    <row r="39" spans="1:29" x14ac:dyDescent="0.15">
      <c r="A39" s="5">
        <v>2</v>
      </c>
      <c r="B39" s="3" t="s">
        <v>5</v>
      </c>
      <c r="C39" s="5">
        <v>526</v>
      </c>
      <c r="D39" s="5">
        <v>19</v>
      </c>
      <c r="E39" s="5">
        <v>9</v>
      </c>
      <c r="F39" s="5">
        <v>4</v>
      </c>
      <c r="G39" s="5">
        <v>6</v>
      </c>
      <c r="H39" s="5">
        <v>38</v>
      </c>
      <c r="I39" s="5">
        <v>28</v>
      </c>
      <c r="J39" s="5">
        <v>10</v>
      </c>
      <c r="K39" s="5">
        <v>31</v>
      </c>
      <c r="L39" s="5">
        <v>1.63</v>
      </c>
      <c r="M39" s="5">
        <v>31.2</v>
      </c>
      <c r="N39" s="5">
        <v>22.3</v>
      </c>
      <c r="O39" s="5">
        <v>8.9</v>
      </c>
      <c r="P39" s="5">
        <v>0.47</v>
      </c>
      <c r="Q39" s="5">
        <v>19</v>
      </c>
      <c r="R39" s="5">
        <v>12</v>
      </c>
      <c r="S39" s="5">
        <v>7</v>
      </c>
      <c r="T39" s="5">
        <v>0</v>
      </c>
      <c r="U39" s="5">
        <v>35</v>
      </c>
      <c r="V39" s="5">
        <v>16</v>
      </c>
      <c r="W39" s="5">
        <v>19</v>
      </c>
      <c r="X39" s="5">
        <v>43</v>
      </c>
      <c r="Y39" s="5">
        <v>2.2599999999999998</v>
      </c>
      <c r="Z39" s="5">
        <v>28.9</v>
      </c>
      <c r="AA39" s="5">
        <v>19.100000000000001</v>
      </c>
      <c r="AB39" s="5">
        <v>9.6999999999999993</v>
      </c>
      <c r="AC39" s="5">
        <v>0.51</v>
      </c>
    </row>
    <row r="40" spans="1:29" x14ac:dyDescent="0.15">
      <c r="A40" s="5">
        <v>12</v>
      </c>
      <c r="B40" s="3" t="s">
        <v>12</v>
      </c>
      <c r="C40" s="5">
        <v>526</v>
      </c>
      <c r="D40" s="5">
        <v>19</v>
      </c>
      <c r="E40" s="5">
        <v>6</v>
      </c>
      <c r="F40" s="5">
        <v>5</v>
      </c>
      <c r="G40" s="5">
        <v>8</v>
      </c>
      <c r="H40" s="5">
        <v>26</v>
      </c>
      <c r="I40" s="5">
        <v>33</v>
      </c>
      <c r="J40" s="5">
        <v>-7</v>
      </c>
      <c r="K40" s="5">
        <v>23</v>
      </c>
      <c r="L40" s="5">
        <v>1.21</v>
      </c>
      <c r="M40" s="5">
        <v>26.5</v>
      </c>
      <c r="N40" s="5">
        <v>24.7</v>
      </c>
      <c r="O40" s="5">
        <v>1.8</v>
      </c>
      <c r="P40" s="5">
        <v>0.1</v>
      </c>
      <c r="Q40" s="5">
        <v>19</v>
      </c>
      <c r="R40" s="5">
        <v>6</v>
      </c>
      <c r="S40" s="5">
        <v>4</v>
      </c>
      <c r="T40" s="5">
        <v>9</v>
      </c>
      <c r="U40" s="5">
        <v>20</v>
      </c>
      <c r="V40" s="5">
        <v>29</v>
      </c>
      <c r="W40" s="5">
        <v>-9</v>
      </c>
      <c r="X40" s="5">
        <v>22</v>
      </c>
      <c r="Y40" s="5">
        <v>1.1599999999999999</v>
      </c>
      <c r="Z40" s="5">
        <v>16.899999999999999</v>
      </c>
      <c r="AA40" s="5">
        <v>33.6</v>
      </c>
      <c r="AB40" s="5">
        <v>-16.7</v>
      </c>
      <c r="AC40" s="5">
        <v>-0.88</v>
      </c>
    </row>
    <row r="41" spans="1:29" x14ac:dyDescent="0.15">
      <c r="A41" s="5">
        <v>20</v>
      </c>
      <c r="B41" s="3" t="s">
        <v>41</v>
      </c>
      <c r="C41" s="5">
        <v>263</v>
      </c>
      <c r="D41" s="5">
        <v>19</v>
      </c>
      <c r="E41" s="5">
        <v>5</v>
      </c>
      <c r="F41" s="5">
        <v>1</v>
      </c>
      <c r="G41" s="5">
        <v>13</v>
      </c>
      <c r="H41" s="5">
        <v>12</v>
      </c>
      <c r="I41" s="5">
        <v>27</v>
      </c>
      <c r="J41" s="5">
        <v>-15</v>
      </c>
      <c r="K41" s="5">
        <v>16</v>
      </c>
      <c r="L41" s="5">
        <v>0.84</v>
      </c>
      <c r="M41" s="5">
        <v>17.899999999999999</v>
      </c>
      <c r="N41" s="5">
        <v>30.2</v>
      </c>
      <c r="O41" s="5">
        <v>-12.4</v>
      </c>
      <c r="P41" s="5">
        <v>-0.65</v>
      </c>
      <c r="Q41" s="5">
        <v>19</v>
      </c>
      <c r="R41" s="5">
        <v>2</v>
      </c>
      <c r="S41" s="5">
        <v>1</v>
      </c>
      <c r="T41" s="5">
        <v>16</v>
      </c>
      <c r="U41" s="5">
        <v>8</v>
      </c>
      <c r="V41" s="5">
        <v>36</v>
      </c>
      <c r="W41" s="5">
        <v>-28</v>
      </c>
      <c r="X41" s="5">
        <v>7</v>
      </c>
      <c r="Y41" s="5">
        <v>0.37</v>
      </c>
      <c r="Z41" s="5">
        <v>14.8</v>
      </c>
      <c r="AA41" s="5">
        <v>32</v>
      </c>
      <c r="AB41" s="5">
        <v>-17.2</v>
      </c>
      <c r="AC41" s="5">
        <v>-0.91</v>
      </c>
    </row>
    <row r="42" spans="1:29" x14ac:dyDescent="0.15">
      <c r="A42" s="5">
        <v>15</v>
      </c>
      <c r="B42" s="3" t="s">
        <v>15</v>
      </c>
      <c r="C42" s="5">
        <v>526</v>
      </c>
      <c r="D42" s="5">
        <v>19</v>
      </c>
      <c r="E42" s="5">
        <v>8</v>
      </c>
      <c r="F42" s="5">
        <v>3</v>
      </c>
      <c r="G42" s="5">
        <v>8</v>
      </c>
      <c r="H42" s="5">
        <v>28</v>
      </c>
      <c r="I42" s="5">
        <v>25</v>
      </c>
      <c r="J42" s="5">
        <v>3</v>
      </c>
      <c r="K42" s="5">
        <v>27</v>
      </c>
      <c r="L42" s="5">
        <v>1.42</v>
      </c>
      <c r="M42" s="5">
        <v>21</v>
      </c>
      <c r="N42" s="5">
        <v>22.3</v>
      </c>
      <c r="O42" s="5">
        <v>-1.3</v>
      </c>
      <c r="P42" s="5">
        <v>-7.0000000000000007E-2</v>
      </c>
      <c r="Q42" s="5">
        <v>19</v>
      </c>
      <c r="R42" s="5">
        <v>4</v>
      </c>
      <c r="S42" s="5">
        <v>4</v>
      </c>
      <c r="T42" s="5">
        <v>11</v>
      </c>
      <c r="U42" s="5">
        <v>19</v>
      </c>
      <c r="V42" s="5">
        <v>43</v>
      </c>
      <c r="W42" s="5">
        <v>-24</v>
      </c>
      <c r="X42" s="5">
        <v>16</v>
      </c>
      <c r="Y42" s="5">
        <v>0.84</v>
      </c>
      <c r="Z42" s="5">
        <v>20.3</v>
      </c>
      <c r="AA42" s="5">
        <v>30.7</v>
      </c>
      <c r="AB42" s="5">
        <v>-10.5</v>
      </c>
      <c r="AC42" s="5">
        <v>-0.55000000000000004</v>
      </c>
    </row>
    <row r="43" spans="1:29" x14ac:dyDescent="0.15">
      <c r="A43" s="5">
        <v>7</v>
      </c>
      <c r="B43" s="3" t="s">
        <v>3</v>
      </c>
      <c r="C43" s="5">
        <v>632</v>
      </c>
      <c r="D43" s="5">
        <v>19</v>
      </c>
      <c r="E43" s="5">
        <v>10</v>
      </c>
      <c r="F43" s="5">
        <v>3</v>
      </c>
      <c r="G43" s="5">
        <v>6</v>
      </c>
      <c r="H43" s="5">
        <v>35</v>
      </c>
      <c r="I43" s="5">
        <v>20</v>
      </c>
      <c r="J43" s="5">
        <v>15</v>
      </c>
      <c r="K43" s="5">
        <v>33</v>
      </c>
      <c r="L43" s="5">
        <v>1.74</v>
      </c>
      <c r="M43" s="5">
        <v>29.6</v>
      </c>
      <c r="N43" s="5">
        <v>21.8</v>
      </c>
      <c r="O43" s="5">
        <v>7.8</v>
      </c>
      <c r="P43" s="5">
        <v>0.41</v>
      </c>
      <c r="Q43" s="5">
        <v>19</v>
      </c>
      <c r="R43" s="5">
        <v>8</v>
      </c>
      <c r="S43" s="5">
        <v>5</v>
      </c>
      <c r="T43" s="5">
        <v>6</v>
      </c>
      <c r="U43" s="5">
        <v>33</v>
      </c>
      <c r="V43" s="5">
        <v>25</v>
      </c>
      <c r="W43" s="5">
        <v>8</v>
      </c>
      <c r="X43" s="5">
        <v>29</v>
      </c>
      <c r="Y43" s="5">
        <v>1.53</v>
      </c>
      <c r="Z43" s="5">
        <v>23.5</v>
      </c>
      <c r="AA43" s="5">
        <v>27.3</v>
      </c>
      <c r="AB43" s="5">
        <v>-3.8</v>
      </c>
      <c r="AC43" s="5">
        <v>-0.2</v>
      </c>
    </row>
    <row r="44" spans="1:29" x14ac:dyDescent="0.15">
      <c r="A44" s="5">
        <v>19</v>
      </c>
      <c r="B44" s="3" t="s">
        <v>44</v>
      </c>
      <c r="C44" s="5">
        <v>283</v>
      </c>
      <c r="D44" s="5">
        <v>19</v>
      </c>
      <c r="E44" s="5">
        <v>3</v>
      </c>
      <c r="F44" s="5">
        <v>6</v>
      </c>
      <c r="G44" s="5">
        <v>10</v>
      </c>
      <c r="H44" s="5">
        <v>15</v>
      </c>
      <c r="I44" s="5">
        <v>39</v>
      </c>
      <c r="J44" s="5">
        <v>-24</v>
      </c>
      <c r="K44" s="5">
        <v>15</v>
      </c>
      <c r="L44" s="5">
        <v>0.79</v>
      </c>
      <c r="M44" s="5">
        <v>18.5</v>
      </c>
      <c r="N44" s="5">
        <v>35.4</v>
      </c>
      <c r="O44" s="5">
        <v>-16.899999999999999</v>
      </c>
      <c r="P44" s="5">
        <v>-0.89</v>
      </c>
      <c r="Q44" s="5">
        <v>19</v>
      </c>
      <c r="R44" s="5">
        <v>2</v>
      </c>
      <c r="S44" s="5">
        <v>5</v>
      </c>
      <c r="T44" s="5">
        <v>12</v>
      </c>
      <c r="U44" s="5">
        <v>20</v>
      </c>
      <c r="V44" s="5">
        <v>37</v>
      </c>
      <c r="W44" s="5">
        <v>-17</v>
      </c>
      <c r="X44" s="5">
        <v>11</v>
      </c>
      <c r="Y44" s="5">
        <v>0.57999999999999996</v>
      </c>
      <c r="Z44" s="5">
        <v>17.399999999999999</v>
      </c>
      <c r="AA44" s="5">
        <v>32.5</v>
      </c>
      <c r="AB44" s="5">
        <v>-15.1</v>
      </c>
      <c r="AC44" s="5">
        <v>-0.8</v>
      </c>
    </row>
    <row r="45" spans="1:29" x14ac:dyDescent="0.15">
      <c r="A45" s="5">
        <v>6</v>
      </c>
      <c r="B45" s="3" t="s">
        <v>9</v>
      </c>
      <c r="C45" s="5">
        <v>632</v>
      </c>
      <c r="D45" s="5">
        <v>19</v>
      </c>
      <c r="E45" s="5">
        <v>10</v>
      </c>
      <c r="F45" s="5">
        <v>4</v>
      </c>
      <c r="G45" s="5">
        <v>5</v>
      </c>
      <c r="H45" s="5">
        <v>32</v>
      </c>
      <c r="I45" s="5">
        <v>22</v>
      </c>
      <c r="J45" s="5">
        <v>10</v>
      </c>
      <c r="K45" s="5">
        <v>34</v>
      </c>
      <c r="L45" s="5">
        <v>1.79</v>
      </c>
      <c r="M45" s="5">
        <v>24.7</v>
      </c>
      <c r="N45" s="5">
        <v>24.9</v>
      </c>
      <c r="O45" s="5">
        <v>-0.2</v>
      </c>
      <c r="P45" s="5">
        <v>-0.01</v>
      </c>
      <c r="Q45" s="5">
        <v>19</v>
      </c>
      <c r="R45" s="5">
        <v>9</v>
      </c>
      <c r="S45" s="5">
        <v>4</v>
      </c>
      <c r="T45" s="5">
        <v>6</v>
      </c>
      <c r="U45" s="5">
        <v>30</v>
      </c>
      <c r="V45" s="5">
        <v>25</v>
      </c>
      <c r="W45" s="5">
        <v>5</v>
      </c>
      <c r="X45" s="5">
        <v>31</v>
      </c>
      <c r="Y45" s="5">
        <v>1.63</v>
      </c>
      <c r="Z45" s="5">
        <v>30.7</v>
      </c>
      <c r="AA45" s="5">
        <v>23.8</v>
      </c>
      <c r="AB45" s="5">
        <v>6.9</v>
      </c>
      <c r="AC45" s="5">
        <v>0.36</v>
      </c>
    </row>
    <row r="46" spans="1:29" x14ac:dyDescent="0.15">
      <c r="A46" s="5">
        <v>13</v>
      </c>
      <c r="B46" s="3" t="s">
        <v>6</v>
      </c>
      <c r="C46" s="5">
        <v>237</v>
      </c>
      <c r="D46" s="5">
        <v>19</v>
      </c>
      <c r="E46" s="5">
        <v>7</v>
      </c>
      <c r="F46" s="5">
        <v>4</v>
      </c>
      <c r="G46" s="5">
        <v>8</v>
      </c>
      <c r="H46" s="5">
        <v>21</v>
      </c>
      <c r="I46" s="5">
        <v>25</v>
      </c>
      <c r="J46" s="5">
        <v>-4</v>
      </c>
      <c r="K46" s="5">
        <v>25</v>
      </c>
      <c r="L46" s="5">
        <v>1.32</v>
      </c>
      <c r="M46" s="5">
        <v>19.899999999999999</v>
      </c>
      <c r="N46" s="5">
        <v>20.6</v>
      </c>
      <c r="O46" s="5">
        <v>-0.7</v>
      </c>
      <c r="P46" s="5">
        <v>-0.04</v>
      </c>
      <c r="Q46" s="5">
        <v>19</v>
      </c>
      <c r="R46" s="5">
        <v>5</v>
      </c>
      <c r="S46" s="5">
        <v>5</v>
      </c>
      <c r="T46" s="5">
        <v>9</v>
      </c>
      <c r="U46" s="5">
        <v>15</v>
      </c>
      <c r="V46" s="5">
        <v>27</v>
      </c>
      <c r="W46" s="5">
        <v>-12</v>
      </c>
      <c r="X46" s="5">
        <v>20</v>
      </c>
      <c r="Y46" s="5">
        <v>1.05</v>
      </c>
      <c r="Z46" s="5">
        <v>16.600000000000001</v>
      </c>
      <c r="AA46" s="5">
        <v>28.9</v>
      </c>
      <c r="AB46" s="5">
        <v>-12.3</v>
      </c>
      <c r="AC46" s="5">
        <v>-0.65</v>
      </c>
    </row>
    <row r="48" spans="1:29" x14ac:dyDescent="0.15">
      <c r="A48" s="159" t="s">
        <v>20</v>
      </c>
      <c r="B48" s="4" t="s">
        <v>21</v>
      </c>
      <c r="C48" s="159" t="s">
        <v>37</v>
      </c>
      <c r="D48" s="159" t="s">
        <v>35</v>
      </c>
      <c r="E48" s="159"/>
      <c r="F48" s="159"/>
      <c r="G48" s="159"/>
      <c r="H48" s="159"/>
      <c r="I48" s="159"/>
      <c r="J48" s="159"/>
      <c r="K48" s="159"/>
      <c r="L48" s="159"/>
      <c r="M48" s="159"/>
      <c r="N48" s="159"/>
      <c r="O48" s="159"/>
      <c r="P48" s="159"/>
      <c r="Q48" s="159" t="s">
        <v>36</v>
      </c>
      <c r="R48" s="159"/>
      <c r="S48" s="159"/>
      <c r="T48" s="159"/>
      <c r="U48" s="159"/>
      <c r="V48" s="159"/>
      <c r="W48" s="159"/>
      <c r="X48" s="159"/>
      <c r="Y48" s="159"/>
      <c r="Z48" s="159"/>
      <c r="AA48" s="159"/>
      <c r="AB48" s="159"/>
      <c r="AC48" s="159"/>
    </row>
    <row r="49" spans="1:29" x14ac:dyDescent="0.15">
      <c r="A49" s="159"/>
      <c r="B49" s="4" t="s">
        <v>39</v>
      </c>
      <c r="C49" s="159"/>
      <c r="D49" s="4" t="s">
        <v>22</v>
      </c>
      <c r="E49" s="4" t="s">
        <v>23</v>
      </c>
      <c r="F49" s="4" t="s">
        <v>24</v>
      </c>
      <c r="G49" s="4" t="s">
        <v>25</v>
      </c>
      <c r="H49" s="4" t="s">
        <v>26</v>
      </c>
      <c r="I49" s="4" t="s">
        <v>27</v>
      </c>
      <c r="J49" s="4" t="s">
        <v>28</v>
      </c>
      <c r="K49" s="4" t="s">
        <v>29</v>
      </c>
      <c r="L49" s="4" t="s">
        <v>30</v>
      </c>
      <c r="M49" s="4" t="s">
        <v>31</v>
      </c>
      <c r="N49" s="4" t="s">
        <v>32</v>
      </c>
      <c r="O49" s="4" t="s">
        <v>33</v>
      </c>
      <c r="P49" s="4" t="s">
        <v>34</v>
      </c>
      <c r="Q49" s="4" t="s">
        <v>22</v>
      </c>
      <c r="R49" s="4" t="s">
        <v>23</v>
      </c>
      <c r="S49" s="4" t="s">
        <v>24</v>
      </c>
      <c r="T49" s="4" t="s">
        <v>25</v>
      </c>
      <c r="U49" s="4" t="s">
        <v>26</v>
      </c>
      <c r="V49" s="4" t="s">
        <v>27</v>
      </c>
      <c r="W49" s="4" t="s">
        <v>28</v>
      </c>
      <c r="X49" s="4" t="s">
        <v>29</v>
      </c>
      <c r="Y49" s="4" t="s">
        <v>30</v>
      </c>
      <c r="Z49" s="4" t="s">
        <v>31</v>
      </c>
      <c r="AA49" s="4" t="s">
        <v>32</v>
      </c>
      <c r="AB49" s="4" t="s">
        <v>33</v>
      </c>
      <c r="AC49" s="4" t="s">
        <v>34</v>
      </c>
    </row>
    <row r="50" spans="1:29" x14ac:dyDescent="0.15">
      <c r="A50" s="5">
        <v>2</v>
      </c>
      <c r="B50" s="3" t="s">
        <v>4</v>
      </c>
      <c r="C50" s="8">
        <v>60236</v>
      </c>
      <c r="D50" s="5">
        <v>19</v>
      </c>
      <c r="E50" s="5">
        <v>15</v>
      </c>
      <c r="F50" s="5">
        <v>2</v>
      </c>
      <c r="G50" s="5">
        <v>2</v>
      </c>
      <c r="H50" s="5">
        <v>48</v>
      </c>
      <c r="I50" s="5">
        <v>16</v>
      </c>
      <c r="J50" s="5">
        <v>32</v>
      </c>
      <c r="K50" s="5">
        <v>47</v>
      </c>
      <c r="L50" s="5">
        <v>2.4700000000000002</v>
      </c>
      <c r="M50" s="5">
        <v>43.5</v>
      </c>
      <c r="N50" s="5">
        <v>13.5</v>
      </c>
      <c r="O50" s="5">
        <v>30</v>
      </c>
      <c r="P50" s="5">
        <v>1.58</v>
      </c>
      <c r="Q50" s="5">
        <v>19</v>
      </c>
      <c r="R50" s="5">
        <v>13</v>
      </c>
      <c r="S50" s="5">
        <v>3</v>
      </c>
      <c r="T50" s="5">
        <v>3</v>
      </c>
      <c r="U50" s="5">
        <v>43</v>
      </c>
      <c r="V50" s="5">
        <v>13</v>
      </c>
      <c r="W50" s="5">
        <v>30</v>
      </c>
      <c r="X50" s="5">
        <v>42</v>
      </c>
      <c r="Y50" s="5">
        <v>2.21</v>
      </c>
      <c r="Z50" s="5">
        <v>32.6</v>
      </c>
      <c r="AA50" s="5">
        <v>14.5</v>
      </c>
      <c r="AB50" s="5">
        <v>18.2</v>
      </c>
      <c r="AC50" s="5">
        <v>0.96</v>
      </c>
    </row>
    <row r="51" spans="1:29" x14ac:dyDescent="0.15">
      <c r="A51" s="5">
        <v>4</v>
      </c>
      <c r="B51" s="3" t="s">
        <v>40</v>
      </c>
      <c r="C51" s="8">
        <v>41858</v>
      </c>
      <c r="D51" s="5">
        <v>19</v>
      </c>
      <c r="E51" s="5">
        <v>12</v>
      </c>
      <c r="F51" s="5">
        <v>4</v>
      </c>
      <c r="G51" s="5">
        <v>3</v>
      </c>
      <c r="H51" s="5">
        <v>48</v>
      </c>
      <c r="I51" s="5">
        <v>28</v>
      </c>
      <c r="J51" s="5">
        <v>20</v>
      </c>
      <c r="K51" s="5">
        <v>40</v>
      </c>
      <c r="L51" s="5">
        <v>2.11</v>
      </c>
      <c r="M51" s="5">
        <v>39</v>
      </c>
      <c r="N51" s="5">
        <v>26.3</v>
      </c>
      <c r="O51" s="5">
        <v>12.7</v>
      </c>
      <c r="P51" s="5">
        <v>0.67</v>
      </c>
      <c r="Q51" s="5">
        <v>19</v>
      </c>
      <c r="R51" s="5">
        <v>8</v>
      </c>
      <c r="S51" s="5">
        <v>4</v>
      </c>
      <c r="T51" s="5">
        <v>7</v>
      </c>
      <c r="U51" s="5">
        <v>28</v>
      </c>
      <c r="V51" s="5">
        <v>33</v>
      </c>
      <c r="W51" s="5">
        <v>-5</v>
      </c>
      <c r="X51" s="5">
        <v>28</v>
      </c>
      <c r="Y51" s="5">
        <v>1.47</v>
      </c>
      <c r="Z51" s="5">
        <v>24.3</v>
      </c>
      <c r="AA51" s="5">
        <v>33.6</v>
      </c>
      <c r="AB51" s="5">
        <v>-9.3000000000000007</v>
      </c>
      <c r="AC51" s="5">
        <v>-0.49</v>
      </c>
    </row>
    <row r="52" spans="1:29" x14ac:dyDescent="0.15">
      <c r="A52" s="5">
        <v>12</v>
      </c>
      <c r="B52" s="3" t="s">
        <v>13</v>
      </c>
      <c r="C52" s="8">
        <v>11103</v>
      </c>
      <c r="D52" s="5">
        <v>19</v>
      </c>
      <c r="E52" s="5">
        <v>7</v>
      </c>
      <c r="F52" s="5">
        <v>6</v>
      </c>
      <c r="G52" s="5">
        <v>6</v>
      </c>
      <c r="H52" s="5">
        <v>27</v>
      </c>
      <c r="I52" s="5">
        <v>28</v>
      </c>
      <c r="J52" s="5">
        <v>-1</v>
      </c>
      <c r="K52" s="5">
        <v>27</v>
      </c>
      <c r="L52" s="5">
        <v>1.42</v>
      </c>
      <c r="M52" s="5">
        <v>27.4</v>
      </c>
      <c r="N52" s="5">
        <v>24.3</v>
      </c>
      <c r="O52" s="5">
        <v>3.1</v>
      </c>
      <c r="P52" s="5">
        <v>0.17</v>
      </c>
      <c r="Q52" s="5">
        <v>19</v>
      </c>
      <c r="R52" s="5">
        <v>6</v>
      </c>
      <c r="S52" s="5">
        <v>3</v>
      </c>
      <c r="T52" s="5">
        <v>10</v>
      </c>
      <c r="U52" s="5">
        <v>27</v>
      </c>
      <c r="V52" s="5">
        <v>39</v>
      </c>
      <c r="W52" s="5">
        <v>-12</v>
      </c>
      <c r="X52" s="5">
        <v>21</v>
      </c>
      <c r="Y52" s="5">
        <v>1.1100000000000001</v>
      </c>
      <c r="Z52" s="5">
        <v>28.5</v>
      </c>
      <c r="AA52" s="5">
        <v>33.799999999999997</v>
      </c>
      <c r="AB52" s="5">
        <v>-5.3</v>
      </c>
      <c r="AC52" s="5">
        <v>-0.28000000000000003</v>
      </c>
    </row>
    <row r="53" spans="1:29" x14ac:dyDescent="0.15">
      <c r="A53" s="5">
        <v>16</v>
      </c>
      <c r="B53" s="3" t="s">
        <v>45</v>
      </c>
      <c r="C53" s="8">
        <v>17082</v>
      </c>
      <c r="D53" s="5">
        <v>19</v>
      </c>
      <c r="E53" s="5">
        <v>5</v>
      </c>
      <c r="F53" s="5">
        <v>7</v>
      </c>
      <c r="G53" s="5">
        <v>7</v>
      </c>
      <c r="H53" s="5">
        <v>29</v>
      </c>
      <c r="I53" s="5">
        <v>34</v>
      </c>
      <c r="J53" s="5">
        <v>-5</v>
      </c>
      <c r="K53" s="5">
        <v>22</v>
      </c>
      <c r="L53" s="5">
        <v>1.1599999999999999</v>
      </c>
      <c r="M53" s="5">
        <v>30.8</v>
      </c>
      <c r="N53" s="5">
        <v>29.7</v>
      </c>
      <c r="O53" s="5">
        <v>1.1000000000000001</v>
      </c>
      <c r="P53" s="5">
        <v>0.06</v>
      </c>
      <c r="Q53" s="5">
        <v>19</v>
      </c>
      <c r="R53" s="5">
        <v>5</v>
      </c>
      <c r="S53" s="5">
        <v>2</v>
      </c>
      <c r="T53" s="5">
        <v>12</v>
      </c>
      <c r="U53" s="5">
        <v>27</v>
      </c>
      <c r="V53" s="5">
        <v>31</v>
      </c>
      <c r="W53" s="5">
        <v>-4</v>
      </c>
      <c r="X53" s="5">
        <v>17</v>
      </c>
      <c r="Y53" s="5">
        <v>0.89</v>
      </c>
      <c r="Z53" s="5">
        <v>27.4</v>
      </c>
      <c r="AA53" s="5">
        <v>26.3</v>
      </c>
      <c r="AB53" s="5">
        <v>1.2</v>
      </c>
      <c r="AC53" s="5">
        <v>0.06</v>
      </c>
    </row>
    <row r="54" spans="1:29" x14ac:dyDescent="0.15">
      <c r="A54" s="5">
        <v>11</v>
      </c>
      <c r="B54" s="3" t="s">
        <v>16</v>
      </c>
      <c r="C54" s="8">
        <v>32638</v>
      </c>
      <c r="D54" s="5">
        <v>19</v>
      </c>
      <c r="E54" s="5">
        <v>8</v>
      </c>
      <c r="F54" s="5">
        <v>6</v>
      </c>
      <c r="G54" s="5">
        <v>5</v>
      </c>
      <c r="H54" s="5">
        <v>30</v>
      </c>
      <c r="I54" s="5">
        <v>27</v>
      </c>
      <c r="J54" s="5">
        <v>3</v>
      </c>
      <c r="K54" s="5">
        <v>30</v>
      </c>
      <c r="L54" s="5">
        <v>1.58</v>
      </c>
      <c r="M54" s="5">
        <v>32.1</v>
      </c>
      <c r="N54" s="5">
        <v>25.4</v>
      </c>
      <c r="O54" s="5">
        <v>6.8</v>
      </c>
      <c r="P54" s="5">
        <v>0.36</v>
      </c>
      <c r="Q54" s="5">
        <v>19</v>
      </c>
      <c r="R54" s="5">
        <v>4</v>
      </c>
      <c r="S54" s="5">
        <v>6</v>
      </c>
      <c r="T54" s="5">
        <v>9</v>
      </c>
      <c r="U54" s="5">
        <v>25</v>
      </c>
      <c r="V54" s="5">
        <v>35</v>
      </c>
      <c r="W54" s="5">
        <v>-10</v>
      </c>
      <c r="X54" s="5">
        <v>18</v>
      </c>
      <c r="Y54" s="5">
        <v>0.95</v>
      </c>
      <c r="Z54" s="5">
        <v>24.7</v>
      </c>
      <c r="AA54" s="5">
        <v>30.1</v>
      </c>
      <c r="AB54" s="5">
        <v>-5.4</v>
      </c>
      <c r="AC54" s="5">
        <v>-0.28000000000000003</v>
      </c>
    </row>
    <row r="55" spans="1:29" x14ac:dyDescent="0.15">
      <c r="A55" s="5">
        <v>19</v>
      </c>
      <c r="B55" s="3" t="s">
        <v>14</v>
      </c>
      <c r="C55" s="8">
        <v>21184</v>
      </c>
      <c r="D55" s="5">
        <v>19</v>
      </c>
      <c r="E55" s="5">
        <v>2</v>
      </c>
      <c r="F55" s="5">
        <v>4</v>
      </c>
      <c r="G55" s="5">
        <v>13</v>
      </c>
      <c r="H55" s="5">
        <v>19</v>
      </c>
      <c r="I55" s="5">
        <v>43</v>
      </c>
      <c r="J55" s="5">
        <v>-24</v>
      </c>
      <c r="K55" s="5">
        <v>10</v>
      </c>
      <c r="L55" s="5">
        <v>0.53</v>
      </c>
      <c r="M55" s="5">
        <v>22.6</v>
      </c>
      <c r="N55" s="5">
        <v>29.1</v>
      </c>
      <c r="O55" s="5">
        <v>-6.5</v>
      </c>
      <c r="P55" s="5">
        <v>-0.34</v>
      </c>
      <c r="Q55" s="5">
        <v>19</v>
      </c>
      <c r="R55" s="5">
        <v>3</v>
      </c>
      <c r="S55" s="5">
        <v>5</v>
      </c>
      <c r="T55" s="5">
        <v>11</v>
      </c>
      <c r="U55" s="5">
        <v>22</v>
      </c>
      <c r="V55" s="5">
        <v>35</v>
      </c>
      <c r="W55" s="5">
        <v>-13</v>
      </c>
      <c r="X55" s="5">
        <v>14</v>
      </c>
      <c r="Y55" s="5">
        <v>0.74</v>
      </c>
      <c r="Z55" s="5">
        <v>18</v>
      </c>
      <c r="AA55" s="5">
        <v>41.3</v>
      </c>
      <c r="AB55" s="5">
        <v>-23.2</v>
      </c>
      <c r="AC55" s="5">
        <v>-1.22</v>
      </c>
    </row>
    <row r="56" spans="1:29" x14ac:dyDescent="0.15">
      <c r="A56" s="5">
        <v>6</v>
      </c>
      <c r="B56" s="3" t="s">
        <v>2</v>
      </c>
      <c r="C56" s="8">
        <v>39524</v>
      </c>
      <c r="D56" s="5">
        <v>19</v>
      </c>
      <c r="E56" s="5">
        <v>11</v>
      </c>
      <c r="F56" s="5">
        <v>4</v>
      </c>
      <c r="G56" s="5">
        <v>4</v>
      </c>
      <c r="H56" s="5">
        <v>44</v>
      </c>
      <c r="I56" s="5">
        <v>26</v>
      </c>
      <c r="J56" s="5">
        <v>18</v>
      </c>
      <c r="K56" s="5">
        <v>37</v>
      </c>
      <c r="L56" s="5">
        <v>1.95</v>
      </c>
      <c r="M56" s="5">
        <v>44.2</v>
      </c>
      <c r="N56" s="5">
        <v>24.9</v>
      </c>
      <c r="O56" s="5">
        <v>19.2</v>
      </c>
      <c r="P56" s="5">
        <v>1.01</v>
      </c>
      <c r="Q56" s="5">
        <v>19</v>
      </c>
      <c r="R56" s="5">
        <v>7</v>
      </c>
      <c r="S56" s="5">
        <v>5</v>
      </c>
      <c r="T56" s="5">
        <v>7</v>
      </c>
      <c r="U56" s="5">
        <v>33</v>
      </c>
      <c r="V56" s="5">
        <v>37</v>
      </c>
      <c r="W56" s="5">
        <v>-4</v>
      </c>
      <c r="X56" s="5">
        <v>26</v>
      </c>
      <c r="Y56" s="5">
        <v>1.37</v>
      </c>
      <c r="Z56" s="5">
        <v>30.3</v>
      </c>
      <c r="AA56" s="5">
        <v>33.1</v>
      </c>
      <c r="AB56" s="5">
        <v>-2.8</v>
      </c>
      <c r="AC56" s="5">
        <v>-0.15</v>
      </c>
    </row>
    <row r="57" spans="1:29" x14ac:dyDescent="0.15">
      <c r="A57" s="5">
        <v>10</v>
      </c>
      <c r="B57" s="3" t="s">
        <v>11</v>
      </c>
      <c r="C57" s="8">
        <v>24932</v>
      </c>
      <c r="D57" s="5">
        <v>19</v>
      </c>
      <c r="E57" s="5">
        <v>8</v>
      </c>
      <c r="F57" s="5">
        <v>4</v>
      </c>
      <c r="G57" s="5">
        <v>7</v>
      </c>
      <c r="H57" s="5">
        <v>37</v>
      </c>
      <c r="I57" s="5">
        <v>26</v>
      </c>
      <c r="J57" s="5">
        <v>11</v>
      </c>
      <c r="K57" s="5">
        <v>28</v>
      </c>
      <c r="L57" s="5">
        <v>1.47</v>
      </c>
      <c r="M57" s="5">
        <v>27.3</v>
      </c>
      <c r="N57" s="5">
        <v>20.9</v>
      </c>
      <c r="O57" s="5">
        <v>6.5</v>
      </c>
      <c r="P57" s="5">
        <v>0.34</v>
      </c>
      <c r="Q57" s="5">
        <v>19</v>
      </c>
      <c r="R57" s="5">
        <v>5</v>
      </c>
      <c r="S57" s="5">
        <v>6</v>
      </c>
      <c r="T57" s="5">
        <v>8</v>
      </c>
      <c r="U57" s="5">
        <v>20</v>
      </c>
      <c r="V57" s="5">
        <v>32</v>
      </c>
      <c r="W57" s="5">
        <v>-12</v>
      </c>
      <c r="X57" s="5">
        <v>21</v>
      </c>
      <c r="Y57" s="5">
        <v>1.1100000000000001</v>
      </c>
      <c r="Z57" s="5">
        <v>21.2</v>
      </c>
      <c r="AA57" s="5">
        <v>31.1</v>
      </c>
      <c r="AB57" s="5">
        <v>-9.9</v>
      </c>
      <c r="AC57" s="5">
        <v>-0.52</v>
      </c>
    </row>
    <row r="58" spans="1:29" x14ac:dyDescent="0.15">
      <c r="A58" s="5">
        <v>15</v>
      </c>
      <c r="B58" s="3" t="s">
        <v>7</v>
      </c>
      <c r="C58" s="8">
        <v>39042</v>
      </c>
      <c r="D58" s="5">
        <v>19</v>
      </c>
      <c r="E58" s="5">
        <v>8</v>
      </c>
      <c r="F58" s="5">
        <v>4</v>
      </c>
      <c r="G58" s="5">
        <v>7</v>
      </c>
      <c r="H58" s="5">
        <v>22</v>
      </c>
      <c r="I58" s="5">
        <v>18</v>
      </c>
      <c r="J58" s="5">
        <v>4</v>
      </c>
      <c r="K58" s="5">
        <v>28</v>
      </c>
      <c r="L58" s="5">
        <v>1.47</v>
      </c>
      <c r="M58" s="5">
        <v>32.1</v>
      </c>
      <c r="N58" s="5">
        <v>22.5</v>
      </c>
      <c r="O58" s="5">
        <v>9.6999999999999993</v>
      </c>
      <c r="P58" s="5">
        <v>0.51</v>
      </c>
      <c r="Q58" s="5">
        <v>19</v>
      </c>
      <c r="R58" s="5">
        <v>5</v>
      </c>
      <c r="S58" s="5">
        <v>5</v>
      </c>
      <c r="T58" s="5">
        <v>9</v>
      </c>
      <c r="U58" s="5">
        <v>18</v>
      </c>
      <c r="V58" s="5">
        <v>33</v>
      </c>
      <c r="W58" s="5">
        <v>-15</v>
      </c>
      <c r="X58" s="5">
        <v>20</v>
      </c>
      <c r="Y58" s="5">
        <v>1.05</v>
      </c>
      <c r="Z58" s="5">
        <v>21.9</v>
      </c>
      <c r="AA58" s="5">
        <v>32.700000000000003</v>
      </c>
      <c r="AB58" s="5">
        <v>-10.8</v>
      </c>
      <c r="AC58" s="5">
        <v>-0.56999999999999995</v>
      </c>
    </row>
    <row r="59" spans="1:29" x14ac:dyDescent="0.15">
      <c r="A59" s="5">
        <v>13</v>
      </c>
      <c r="B59" s="3" t="s">
        <v>18</v>
      </c>
      <c r="C59" s="8">
        <v>24302</v>
      </c>
      <c r="D59" s="5">
        <v>19</v>
      </c>
      <c r="E59" s="5">
        <v>9</v>
      </c>
      <c r="F59" s="5">
        <v>2</v>
      </c>
      <c r="G59" s="5">
        <v>8</v>
      </c>
      <c r="H59" s="5">
        <v>31</v>
      </c>
      <c r="I59" s="5">
        <v>24</v>
      </c>
      <c r="J59" s="5">
        <v>7</v>
      </c>
      <c r="K59" s="5">
        <v>29</v>
      </c>
      <c r="L59" s="5">
        <v>1.53</v>
      </c>
      <c r="M59" s="5">
        <v>27.9</v>
      </c>
      <c r="N59" s="5">
        <v>27.8</v>
      </c>
      <c r="O59" s="5">
        <v>0.1</v>
      </c>
      <c r="P59" s="5">
        <v>0</v>
      </c>
      <c r="Q59" s="5">
        <v>19</v>
      </c>
      <c r="R59" s="5">
        <v>4</v>
      </c>
      <c r="S59" s="5">
        <v>6</v>
      </c>
      <c r="T59" s="5">
        <v>9</v>
      </c>
      <c r="U59" s="5">
        <v>24</v>
      </c>
      <c r="V59" s="5">
        <v>37</v>
      </c>
      <c r="W59" s="5">
        <v>-13</v>
      </c>
      <c r="X59" s="5">
        <v>18</v>
      </c>
      <c r="Y59" s="5">
        <v>0.95</v>
      </c>
      <c r="Z59" s="5">
        <v>22.9</v>
      </c>
      <c r="AA59" s="5">
        <v>35.1</v>
      </c>
      <c r="AB59" s="5">
        <v>-12.2</v>
      </c>
      <c r="AC59" s="5">
        <v>-0.64</v>
      </c>
    </row>
    <row r="60" spans="1:29" x14ac:dyDescent="0.15">
      <c r="A60" s="5">
        <v>3</v>
      </c>
      <c r="B60" s="3" t="s">
        <v>1</v>
      </c>
      <c r="C60" s="8">
        <v>55979</v>
      </c>
      <c r="D60" s="5">
        <v>19</v>
      </c>
      <c r="E60" s="5">
        <v>15</v>
      </c>
      <c r="F60" s="5">
        <v>3</v>
      </c>
      <c r="G60" s="5">
        <v>1</v>
      </c>
      <c r="H60" s="5">
        <v>49</v>
      </c>
      <c r="I60" s="5">
        <v>17</v>
      </c>
      <c r="J60" s="5">
        <v>32</v>
      </c>
      <c r="K60" s="5">
        <v>48</v>
      </c>
      <c r="L60" s="5">
        <v>2.5299999999999998</v>
      </c>
      <c r="M60" s="5">
        <v>54.7</v>
      </c>
      <c r="N60" s="5">
        <v>17.600000000000001</v>
      </c>
      <c r="O60" s="5">
        <v>37.1</v>
      </c>
      <c r="P60" s="5">
        <v>1.95</v>
      </c>
      <c r="Q60" s="5">
        <v>19</v>
      </c>
      <c r="R60" s="5">
        <v>9</v>
      </c>
      <c r="S60" s="5">
        <v>7</v>
      </c>
      <c r="T60" s="5">
        <v>3</v>
      </c>
      <c r="U60" s="5">
        <v>37</v>
      </c>
      <c r="V60" s="5">
        <v>24</v>
      </c>
      <c r="W60" s="5">
        <v>13</v>
      </c>
      <c r="X60" s="5">
        <v>34</v>
      </c>
      <c r="Y60" s="5">
        <v>1.79</v>
      </c>
      <c r="Z60" s="5">
        <v>33</v>
      </c>
      <c r="AA60" s="5">
        <v>28.1</v>
      </c>
      <c r="AB60" s="5">
        <v>4.9000000000000004</v>
      </c>
      <c r="AC60" s="5">
        <v>0.26</v>
      </c>
    </row>
    <row r="61" spans="1:29" x14ac:dyDescent="0.15">
      <c r="A61" s="5">
        <v>18</v>
      </c>
      <c r="B61" s="3" t="s">
        <v>47</v>
      </c>
      <c r="C61" s="8">
        <v>11240</v>
      </c>
      <c r="D61" s="5">
        <v>19</v>
      </c>
      <c r="E61" s="5">
        <v>4</v>
      </c>
      <c r="F61" s="5">
        <v>4</v>
      </c>
      <c r="G61" s="5">
        <v>11</v>
      </c>
      <c r="H61" s="5">
        <v>28</v>
      </c>
      <c r="I61" s="5">
        <v>37</v>
      </c>
      <c r="J61" s="5">
        <v>-9</v>
      </c>
      <c r="K61" s="5">
        <v>16</v>
      </c>
      <c r="L61" s="5">
        <v>0.84</v>
      </c>
      <c r="M61" s="5">
        <v>25.8</v>
      </c>
      <c r="N61" s="5">
        <v>31.1</v>
      </c>
      <c r="O61" s="5">
        <v>-5.3</v>
      </c>
      <c r="P61" s="5">
        <v>-0.28000000000000003</v>
      </c>
      <c r="Q61" s="5">
        <v>19</v>
      </c>
      <c r="R61" s="5">
        <v>2</v>
      </c>
      <c r="S61" s="5">
        <v>4</v>
      </c>
      <c r="T61" s="5">
        <v>13</v>
      </c>
      <c r="U61" s="5">
        <v>24</v>
      </c>
      <c r="V61" s="5">
        <v>48</v>
      </c>
      <c r="W61" s="5">
        <v>-24</v>
      </c>
      <c r="X61" s="5">
        <v>10</v>
      </c>
      <c r="Y61" s="5">
        <v>0.53</v>
      </c>
      <c r="Z61" s="5">
        <v>16.600000000000001</v>
      </c>
      <c r="AA61" s="5">
        <v>46.9</v>
      </c>
      <c r="AB61" s="5">
        <v>-30.2</v>
      </c>
      <c r="AC61" s="5">
        <v>-1.59</v>
      </c>
    </row>
    <row r="62" spans="1:29" x14ac:dyDescent="0.15">
      <c r="A62" s="5">
        <v>1</v>
      </c>
      <c r="B62" s="3" t="s">
        <v>0</v>
      </c>
      <c r="C62" s="8">
        <v>53012</v>
      </c>
      <c r="D62" s="5">
        <v>19</v>
      </c>
      <c r="E62" s="5">
        <v>14</v>
      </c>
      <c r="F62" s="5">
        <v>5</v>
      </c>
      <c r="G62" s="5">
        <v>0</v>
      </c>
      <c r="H62" s="5">
        <v>51</v>
      </c>
      <c r="I62" s="5">
        <v>16</v>
      </c>
      <c r="J62" s="5">
        <v>35</v>
      </c>
      <c r="K62" s="5">
        <v>47</v>
      </c>
      <c r="L62" s="5">
        <v>2.4700000000000002</v>
      </c>
      <c r="M62" s="5">
        <v>40.700000000000003</v>
      </c>
      <c r="N62" s="5">
        <v>14</v>
      </c>
      <c r="O62" s="5">
        <v>26.7</v>
      </c>
      <c r="P62" s="5">
        <v>1.41</v>
      </c>
      <c r="Q62" s="5">
        <v>19</v>
      </c>
      <c r="R62" s="5">
        <v>14</v>
      </c>
      <c r="S62" s="5">
        <v>2</v>
      </c>
      <c r="T62" s="5">
        <v>3</v>
      </c>
      <c r="U62" s="5">
        <v>45</v>
      </c>
      <c r="V62" s="5">
        <v>18</v>
      </c>
      <c r="W62" s="5">
        <v>27</v>
      </c>
      <c r="X62" s="5">
        <v>44</v>
      </c>
      <c r="Y62" s="5">
        <v>2.3199999999999998</v>
      </c>
      <c r="Z62" s="5">
        <v>39.799999999999997</v>
      </c>
      <c r="AA62" s="5">
        <v>21.6</v>
      </c>
      <c r="AB62" s="5">
        <v>18.2</v>
      </c>
      <c r="AC62" s="5">
        <v>0.96</v>
      </c>
    </row>
    <row r="63" spans="1:29" x14ac:dyDescent="0.15">
      <c r="A63" s="5">
        <v>8</v>
      </c>
      <c r="B63" s="3" t="s">
        <v>5</v>
      </c>
      <c r="C63" s="8">
        <v>73533</v>
      </c>
      <c r="D63" s="5">
        <v>19</v>
      </c>
      <c r="E63" s="5">
        <v>10</v>
      </c>
      <c r="F63" s="5">
        <v>3</v>
      </c>
      <c r="G63" s="5">
        <v>6</v>
      </c>
      <c r="H63" s="5">
        <v>31</v>
      </c>
      <c r="I63" s="5">
        <v>28</v>
      </c>
      <c r="J63" s="5">
        <v>3</v>
      </c>
      <c r="K63" s="5">
        <v>33</v>
      </c>
      <c r="L63" s="5">
        <v>1.74</v>
      </c>
      <c r="M63" s="5">
        <v>32.299999999999997</v>
      </c>
      <c r="N63" s="5">
        <v>31.5</v>
      </c>
      <c r="O63" s="5">
        <v>0.8</v>
      </c>
      <c r="P63" s="5">
        <v>0.04</v>
      </c>
      <c r="Q63" s="5">
        <v>19</v>
      </c>
      <c r="R63" s="5">
        <v>8</v>
      </c>
      <c r="S63" s="5">
        <v>3</v>
      </c>
      <c r="T63" s="5">
        <v>8</v>
      </c>
      <c r="U63" s="5">
        <v>26</v>
      </c>
      <c r="V63" s="5">
        <v>30</v>
      </c>
      <c r="W63" s="5">
        <v>-4</v>
      </c>
      <c r="X63" s="5">
        <v>27</v>
      </c>
      <c r="Y63" s="5">
        <v>1.42</v>
      </c>
      <c r="Z63" s="5">
        <v>24.1</v>
      </c>
      <c r="AA63" s="5">
        <v>37.4</v>
      </c>
      <c r="AB63" s="5">
        <v>-13.2</v>
      </c>
      <c r="AC63" s="5">
        <v>-0.7</v>
      </c>
    </row>
    <row r="64" spans="1:29" x14ac:dyDescent="0.15">
      <c r="A64" s="5">
        <v>7</v>
      </c>
      <c r="B64" s="3" t="s">
        <v>12</v>
      </c>
      <c r="C64" s="8">
        <v>52125</v>
      </c>
      <c r="D64" s="5">
        <v>19</v>
      </c>
      <c r="E64" s="5">
        <v>12</v>
      </c>
      <c r="F64" s="5">
        <v>4</v>
      </c>
      <c r="G64" s="5">
        <v>3</v>
      </c>
      <c r="H64" s="5">
        <v>49</v>
      </c>
      <c r="I64" s="5">
        <v>22</v>
      </c>
      <c r="J64" s="5">
        <v>27</v>
      </c>
      <c r="K64" s="5">
        <v>40</v>
      </c>
      <c r="L64" s="5">
        <v>2.11</v>
      </c>
      <c r="M64" s="5">
        <v>46.4</v>
      </c>
      <c r="N64" s="5">
        <v>25</v>
      </c>
      <c r="O64" s="5">
        <v>21.4</v>
      </c>
      <c r="P64" s="5">
        <v>1.1200000000000001</v>
      </c>
      <c r="Q64" s="5">
        <v>19</v>
      </c>
      <c r="R64" s="5">
        <v>6</v>
      </c>
      <c r="S64" s="5">
        <v>2</v>
      </c>
      <c r="T64" s="5">
        <v>11</v>
      </c>
      <c r="U64" s="5">
        <v>36</v>
      </c>
      <c r="V64" s="5">
        <v>40</v>
      </c>
      <c r="W64" s="5">
        <v>-4</v>
      </c>
      <c r="X64" s="5">
        <v>20</v>
      </c>
      <c r="Y64" s="5">
        <v>1.05</v>
      </c>
      <c r="Z64" s="5">
        <v>29.6</v>
      </c>
      <c r="AA64" s="5">
        <v>36.4</v>
      </c>
      <c r="AB64" s="5">
        <v>-6.7</v>
      </c>
      <c r="AC64" s="5">
        <v>-0.36</v>
      </c>
    </row>
    <row r="65" spans="1:29" x14ac:dyDescent="0.15">
      <c r="A65" s="5">
        <v>17</v>
      </c>
      <c r="B65" s="3" t="s">
        <v>48</v>
      </c>
      <c r="C65" s="8">
        <v>29386</v>
      </c>
      <c r="D65" s="5">
        <v>19</v>
      </c>
      <c r="E65" s="5">
        <v>5</v>
      </c>
      <c r="F65" s="5">
        <v>5</v>
      </c>
      <c r="G65" s="5">
        <v>9</v>
      </c>
      <c r="H65" s="5">
        <v>27</v>
      </c>
      <c r="I65" s="5">
        <v>30</v>
      </c>
      <c r="J65" s="5">
        <v>-3</v>
      </c>
      <c r="K65" s="5">
        <v>20</v>
      </c>
      <c r="L65" s="5">
        <v>1.05</v>
      </c>
      <c r="M65" s="5">
        <v>25</v>
      </c>
      <c r="N65" s="5">
        <v>21.8</v>
      </c>
      <c r="O65" s="5">
        <v>3.2</v>
      </c>
      <c r="P65" s="5">
        <v>0.17</v>
      </c>
      <c r="Q65" s="5">
        <v>19</v>
      </c>
      <c r="R65" s="5">
        <v>4</v>
      </c>
      <c r="S65" s="5">
        <v>4</v>
      </c>
      <c r="T65" s="5">
        <v>11</v>
      </c>
      <c r="U65" s="5">
        <v>22</v>
      </c>
      <c r="V65" s="5">
        <v>37</v>
      </c>
      <c r="W65" s="5">
        <v>-15</v>
      </c>
      <c r="X65" s="5">
        <v>16</v>
      </c>
      <c r="Y65" s="5">
        <v>0.84</v>
      </c>
      <c r="Z65" s="5">
        <v>24.9</v>
      </c>
      <c r="AA65" s="5">
        <v>31.5</v>
      </c>
      <c r="AB65" s="5">
        <v>-6.5</v>
      </c>
      <c r="AC65" s="5">
        <v>-0.34</v>
      </c>
    </row>
    <row r="66" spans="1:29" x14ac:dyDescent="0.15">
      <c r="A66" s="5">
        <v>20</v>
      </c>
      <c r="B66" s="3" t="s">
        <v>41</v>
      </c>
      <c r="C66" s="8">
        <v>30011</v>
      </c>
      <c r="D66" s="5">
        <v>19</v>
      </c>
      <c r="E66" s="5">
        <v>2</v>
      </c>
      <c r="F66" s="5">
        <v>4</v>
      </c>
      <c r="G66" s="5">
        <v>13</v>
      </c>
      <c r="H66" s="5">
        <v>19</v>
      </c>
      <c r="I66" s="5">
        <v>57</v>
      </c>
      <c r="J66" s="5">
        <v>-38</v>
      </c>
      <c r="K66" s="5">
        <v>10</v>
      </c>
      <c r="L66" s="5">
        <v>0.53</v>
      </c>
      <c r="M66" s="5">
        <v>24.3</v>
      </c>
      <c r="N66" s="5">
        <v>37.799999999999997</v>
      </c>
      <c r="O66" s="5">
        <v>-13.5</v>
      </c>
      <c r="P66" s="5">
        <v>-0.71</v>
      </c>
      <c r="Q66" s="5">
        <v>19</v>
      </c>
      <c r="R66" s="5">
        <v>1</v>
      </c>
      <c r="S66" s="5">
        <v>3</v>
      </c>
      <c r="T66" s="5">
        <v>15</v>
      </c>
      <c r="U66" s="5">
        <v>16</v>
      </c>
      <c r="V66" s="5">
        <v>47</v>
      </c>
      <c r="W66" s="5">
        <v>-31</v>
      </c>
      <c r="X66" s="5">
        <v>6</v>
      </c>
      <c r="Y66" s="5">
        <v>0.32</v>
      </c>
      <c r="Z66" s="5">
        <v>14</v>
      </c>
      <c r="AA66" s="5">
        <v>38.799999999999997</v>
      </c>
      <c r="AB66" s="5">
        <v>-24.8</v>
      </c>
      <c r="AC66" s="5">
        <v>-1.3</v>
      </c>
    </row>
    <row r="67" spans="1:29" x14ac:dyDescent="0.15">
      <c r="A67" s="5">
        <v>5</v>
      </c>
      <c r="B67" s="3" t="s">
        <v>3</v>
      </c>
      <c r="C67" s="8">
        <v>61482</v>
      </c>
      <c r="D67" s="5">
        <v>19</v>
      </c>
      <c r="E67" s="5">
        <v>13</v>
      </c>
      <c r="F67" s="5">
        <v>0</v>
      </c>
      <c r="G67" s="5">
        <v>6</v>
      </c>
      <c r="H67" s="5">
        <v>38</v>
      </c>
      <c r="I67" s="5">
        <v>27</v>
      </c>
      <c r="J67" s="5">
        <v>11</v>
      </c>
      <c r="K67" s="5">
        <v>39</v>
      </c>
      <c r="L67" s="5">
        <v>2.0499999999999998</v>
      </c>
      <c r="M67" s="5">
        <v>39.200000000000003</v>
      </c>
      <c r="N67" s="5">
        <v>29.3</v>
      </c>
      <c r="O67" s="5">
        <v>9.9</v>
      </c>
      <c r="P67" s="5">
        <v>0.52</v>
      </c>
      <c r="Q67" s="5">
        <v>19</v>
      </c>
      <c r="R67" s="5">
        <v>7</v>
      </c>
      <c r="S67" s="5">
        <v>6</v>
      </c>
      <c r="T67" s="5">
        <v>6</v>
      </c>
      <c r="U67" s="5">
        <v>36</v>
      </c>
      <c r="V67" s="5">
        <v>34</v>
      </c>
      <c r="W67" s="5">
        <v>2</v>
      </c>
      <c r="X67" s="5">
        <v>27</v>
      </c>
      <c r="Y67" s="5">
        <v>1.42</v>
      </c>
      <c r="Z67" s="5">
        <v>28.9</v>
      </c>
      <c r="AA67" s="5">
        <v>34.1</v>
      </c>
      <c r="AB67" s="5">
        <v>-5.2</v>
      </c>
      <c r="AC67" s="5">
        <v>-0.27</v>
      </c>
    </row>
    <row r="68" spans="1:29" x14ac:dyDescent="0.15">
      <c r="A68" s="5">
        <v>9</v>
      </c>
      <c r="B68" s="3" t="s">
        <v>9</v>
      </c>
      <c r="C68" s="8">
        <v>62567</v>
      </c>
      <c r="D68" s="5">
        <v>19</v>
      </c>
      <c r="E68" s="5">
        <v>7</v>
      </c>
      <c r="F68" s="5">
        <v>8</v>
      </c>
      <c r="G68" s="5">
        <v>4</v>
      </c>
      <c r="H68" s="5">
        <v>31</v>
      </c>
      <c r="I68" s="5">
        <v>28</v>
      </c>
      <c r="J68" s="5">
        <v>3</v>
      </c>
      <c r="K68" s="5">
        <v>29</v>
      </c>
      <c r="L68" s="5">
        <v>1.53</v>
      </c>
      <c r="M68" s="5">
        <v>26.3</v>
      </c>
      <c r="N68" s="5">
        <v>29.7</v>
      </c>
      <c r="O68" s="5">
        <v>-3.5</v>
      </c>
      <c r="P68" s="5">
        <v>-0.18</v>
      </c>
      <c r="Q68" s="5">
        <v>19</v>
      </c>
      <c r="R68" s="5">
        <v>7</v>
      </c>
      <c r="S68" s="5">
        <v>2</v>
      </c>
      <c r="T68" s="5">
        <v>10</v>
      </c>
      <c r="U68" s="5">
        <v>29</v>
      </c>
      <c r="V68" s="5">
        <v>46</v>
      </c>
      <c r="W68" s="5">
        <v>-17</v>
      </c>
      <c r="X68" s="5">
        <v>23</v>
      </c>
      <c r="Y68" s="5">
        <v>1.21</v>
      </c>
      <c r="Z68" s="5">
        <v>26.1</v>
      </c>
      <c r="AA68" s="5">
        <v>41.4</v>
      </c>
      <c r="AB68" s="5">
        <v>-15.3</v>
      </c>
      <c r="AC68" s="5">
        <v>-0.8</v>
      </c>
    </row>
    <row r="69" spans="1:29" x14ac:dyDescent="0.15">
      <c r="A69" s="5">
        <v>14</v>
      </c>
      <c r="B69" s="3" t="s">
        <v>6</v>
      </c>
      <c r="C69" s="8">
        <v>31029</v>
      </c>
      <c r="D69" s="5">
        <v>19</v>
      </c>
      <c r="E69" s="5">
        <v>8</v>
      </c>
      <c r="F69" s="5">
        <v>3</v>
      </c>
      <c r="G69" s="5">
        <v>8</v>
      </c>
      <c r="H69" s="5">
        <v>26</v>
      </c>
      <c r="I69" s="5">
        <v>30</v>
      </c>
      <c r="J69" s="5">
        <v>-4</v>
      </c>
      <c r="K69" s="5">
        <v>27</v>
      </c>
      <c r="L69" s="5">
        <v>1.42</v>
      </c>
      <c r="M69" s="5">
        <v>23.2</v>
      </c>
      <c r="N69" s="5">
        <v>30.5</v>
      </c>
      <c r="O69" s="5">
        <v>-7.2</v>
      </c>
      <c r="P69" s="5">
        <v>-0.38</v>
      </c>
      <c r="Q69" s="5">
        <v>19</v>
      </c>
      <c r="R69" s="5">
        <v>5</v>
      </c>
      <c r="S69" s="5">
        <v>4</v>
      </c>
      <c r="T69" s="5">
        <v>10</v>
      </c>
      <c r="U69" s="5">
        <v>24</v>
      </c>
      <c r="V69" s="5">
        <v>35</v>
      </c>
      <c r="W69" s="5">
        <v>-11</v>
      </c>
      <c r="X69" s="5">
        <v>19</v>
      </c>
      <c r="Y69" s="5">
        <v>1</v>
      </c>
      <c r="Z69" s="5">
        <v>23.5</v>
      </c>
      <c r="AA69" s="5">
        <v>37.200000000000003</v>
      </c>
      <c r="AB69" s="5">
        <v>-13.7</v>
      </c>
      <c r="AC69" s="5">
        <v>-0.72</v>
      </c>
    </row>
  </sheetData>
  <mergeCells count="12">
    <mergeCell ref="D2:P2"/>
    <mergeCell ref="Q2:AC2"/>
    <mergeCell ref="C2:C3"/>
    <mergeCell ref="A2:A3"/>
    <mergeCell ref="C48:C49"/>
    <mergeCell ref="D48:P48"/>
    <mergeCell ref="Q48:AC48"/>
    <mergeCell ref="A48:A49"/>
    <mergeCell ref="D25:P25"/>
    <mergeCell ref="Q25:AC25"/>
    <mergeCell ref="A25:A26"/>
    <mergeCell ref="C25:C26"/>
  </mergeCells>
  <hyperlinks>
    <hyperlink ref="B4" r:id="rId1" display="https://fbref.com/en/squads/18bb7c10/2018-2019/Arsenal-Stats" xr:uid="{98FCA962-F123-2545-BF28-5E1BEC84A2BB}"/>
    <hyperlink ref="B5" r:id="rId2" display="https://fbref.com/en/squads/4ba7cbea/2018-2019/Bournemouth-Stats" xr:uid="{4064514A-0DD3-2440-8F68-773F413EF126}"/>
    <hyperlink ref="B6" r:id="rId3" display="https://fbref.com/en/squads/d07537b9/2018-2019/Brighton-and-Hove-Albion-Stats" xr:uid="{0C9E15A5-1465-BE4D-93BB-984E6A9DE990}"/>
    <hyperlink ref="B7" r:id="rId4" display="https://fbref.com/en/squads/943e8050/2018-2019/Burnley-Stats" xr:uid="{D02D55EC-F46B-A34C-ACE2-3DEF15C34344}"/>
    <hyperlink ref="B8" r:id="rId5" display="https://fbref.com/en/squads/75fae011/2018-2019/Cardiff-City-Stats" xr:uid="{4BE0E824-F2D4-9D49-A3A3-20210346A2C1}"/>
    <hyperlink ref="B9" r:id="rId6" display="https://fbref.com/en/squads/cff3d9bb/2018-2019/Chelsea-Stats" xr:uid="{3E2BD232-EC3C-EE4E-A80E-5E204BCD765E}"/>
    <hyperlink ref="B10" r:id="rId7" display="https://fbref.com/en/squads/47c64c55/2018-2019/Crystal-Palace-Stats" xr:uid="{1CD71D55-7D16-714D-9B25-A6836E694F9E}"/>
    <hyperlink ref="B11" r:id="rId8" display="https://fbref.com/en/squads/d3fd31cc/2018-2019/Everton-Stats" xr:uid="{5EB7E7B0-2D7F-6346-9042-8BE98E3BA541}"/>
    <hyperlink ref="B12" r:id="rId9" display="https://fbref.com/en/squads/fd962109/2018-2019/Fulham-Stats" xr:uid="{1AD6F545-D56C-0945-9739-E4BDA9390892}"/>
    <hyperlink ref="B13" r:id="rId10" display="https://fbref.com/en/squads/f5922ca5/2018-2019/Huddersfield-Town-Stats" xr:uid="{6BCBD1D9-DDA2-4D47-94C8-923AB1266EFD}"/>
    <hyperlink ref="B14" r:id="rId11" display="https://fbref.com/en/squads/a2d435b3/2018-2019/Leicester-City-Stats" xr:uid="{F789253E-4CB4-4B4B-A223-CA52D4CFC913}"/>
    <hyperlink ref="B15" r:id="rId12" display="https://fbref.com/en/squads/822bd0ba/2018-2019/Liverpool-Stats" xr:uid="{BBA4D581-9AFD-4944-8410-C2EC5A4415A7}"/>
    <hyperlink ref="B16" r:id="rId13" display="https://fbref.com/en/squads/b8fd03ef/2018-2019/Manchester-City-Stats" xr:uid="{D1DC45B0-A3E7-6D41-B5F2-88818D4165A3}"/>
    <hyperlink ref="B17" r:id="rId14" display="https://fbref.com/en/squads/19538871/2018-2019/Manchester-United-Stats" xr:uid="{9057376F-C186-0844-94A7-8F39A6BD02F8}"/>
    <hyperlink ref="B18" r:id="rId15" display="https://fbref.com/en/squads/b2b47a98/2018-2019/Newcastle-United-Stats" xr:uid="{FE800573-4F39-D140-8F85-74DAA7BF5E06}"/>
    <hyperlink ref="B19" r:id="rId16" display="https://fbref.com/en/squads/33c895d4/2018-2019/Southampton-Stats" xr:uid="{C329EC9B-90DD-F94D-8CE6-E3A22EEB3578}"/>
    <hyperlink ref="B20" r:id="rId17" display="https://fbref.com/en/squads/361ca564/2018-2019/Tottenham-Hotspur-Stats" xr:uid="{F39BCE42-4F89-FC42-B223-E0444A270323}"/>
    <hyperlink ref="B21" r:id="rId18" display="https://fbref.com/en/squads/2abfe087/2018-2019/Watford-Stats" xr:uid="{2BE660D5-596B-914A-9859-2E746BDB06E5}"/>
    <hyperlink ref="B22" r:id="rId19" display="https://fbref.com/en/squads/7c21e445/2018-2019/West-Ham-United-Stats" xr:uid="{4860F60B-70D5-5C46-9C32-8A6DD82DBD10}"/>
    <hyperlink ref="B23" r:id="rId20" display="https://fbref.com/en/squads/8cec06e1/2018-2019/Wolverhampton-Wanderers-Stats" xr:uid="{9D5B52DF-317F-2646-86A8-E381E068BE37}"/>
    <hyperlink ref="B27" r:id="rId21" display="https://fbref.com/en/squads/18bb7c10/2020-2021/Arsenal-Stats" xr:uid="{DD63E005-5562-874E-AA2F-2BC260C8E9C6}"/>
    <hyperlink ref="B28" r:id="rId22" display="https://fbref.com/en/squads/8602292d/2020-2021/Aston-Villa-Stats" xr:uid="{6C2204CF-D095-A649-9B4B-E6AE7F788A32}"/>
    <hyperlink ref="B29" r:id="rId23" display="https://fbref.com/en/squads/d07537b9/2020-2021/Brighton-and-Hove-Albion-Stats" xr:uid="{883071AC-43C3-E645-98C6-A9C1914CC9CA}"/>
    <hyperlink ref="B30" r:id="rId24" display="https://fbref.com/en/squads/943e8050/2020-2021/Burnley-Stats" xr:uid="{4C61FB24-16A9-F041-AE8D-BC3D42700E2B}"/>
    <hyperlink ref="B31" r:id="rId25" display="https://fbref.com/en/squads/cff3d9bb/2020-2021/Chelsea-Stats" xr:uid="{0BB0B6CF-D58C-864C-AC37-63AEBBB37CB7}"/>
    <hyperlink ref="B32" r:id="rId26" display="https://fbref.com/en/squads/47c64c55/2020-2021/Crystal-Palace-Stats" xr:uid="{7C8E7FEC-B371-6947-8A2F-14346F30D3E7}"/>
    <hyperlink ref="B33" r:id="rId27" display="https://fbref.com/en/squads/d3fd31cc/2020-2021/Everton-Stats" xr:uid="{2CAB00C4-C6E5-384E-AC7F-EC097ABDF493}"/>
    <hyperlink ref="B34" r:id="rId28" display="https://fbref.com/en/squads/fd962109/2020-2021/Fulham-Stats" xr:uid="{597A8A32-A842-9A4E-A261-C822A6086805}"/>
    <hyperlink ref="B35" r:id="rId29" display="https://fbref.com/en/squads/5bfb9659/2020-2021/Leeds-United-Stats" xr:uid="{BCC0E44D-7647-D947-AC8C-52895765981D}"/>
    <hyperlink ref="B36" r:id="rId30" display="https://fbref.com/en/squads/a2d435b3/2020-2021/Leicester-City-Stats" xr:uid="{CCD7499B-015C-6346-AE08-3F1D16ACA80E}"/>
    <hyperlink ref="B37" r:id="rId31" display="https://fbref.com/en/squads/822bd0ba/2020-2021/Liverpool-Stats" xr:uid="{9FC402D1-0485-6044-8B29-77729087D3D9}"/>
    <hyperlink ref="B38" r:id="rId32" display="https://fbref.com/en/squads/b8fd03ef/2020-2021/Manchester-City-Stats" xr:uid="{54A26B88-72AB-E946-ABEA-54A50D2D94CE}"/>
    <hyperlink ref="B39" r:id="rId33" display="https://fbref.com/en/squads/19538871/2020-2021/Manchester-United-Stats" xr:uid="{4E50FE2F-C6B8-1041-92BF-263C439E7252}"/>
    <hyperlink ref="B40" r:id="rId34" display="https://fbref.com/en/squads/b2b47a98/2020-2021/Newcastle-United-Stats" xr:uid="{56F2A253-FE86-B747-ACA6-2D13986E9D2C}"/>
    <hyperlink ref="B41" r:id="rId35" display="https://fbref.com/en/squads/1df6b87e/2020-2021/Sheffield-United-Stats" xr:uid="{5375F682-9107-A745-BDC4-956473C9BF8C}"/>
    <hyperlink ref="B42" r:id="rId36" display="https://fbref.com/en/squads/33c895d4/2020-2021/Southampton-Stats" xr:uid="{CFB1AE3C-31CC-694C-8CBC-E7D96B17477F}"/>
    <hyperlink ref="B43" r:id="rId37" display="https://fbref.com/en/squads/361ca564/2020-2021/Tottenham-Hotspur-Stats" xr:uid="{0C489A7D-C387-AD45-8F58-33771E5D0AE9}"/>
    <hyperlink ref="B44" r:id="rId38" display="https://fbref.com/en/squads/60c6b05f/2020-2021/West-Bromwich-Albion-Stats" xr:uid="{ACBADDB5-1E46-5A42-AD37-E3943AF7AF19}"/>
    <hyperlink ref="B45" r:id="rId39" display="https://fbref.com/en/squads/7c21e445/2020-2021/West-Ham-United-Stats" xr:uid="{8BB98AB4-A517-BD42-AA8B-64EE75677BF8}"/>
    <hyperlink ref="B46" r:id="rId40" display="https://fbref.com/en/squads/8cec06e1/2020-2021/Wolverhampton-Wanderers-Stats" xr:uid="{EC833977-B094-CE41-9D6F-192B748841C2}"/>
    <hyperlink ref="B50" r:id="rId41" display="https://fbref.com/en/squads/18bb7c10/2023-2024/Arsenal-Stats" xr:uid="{EBE9E6B3-78F5-AD41-BAC7-194AF30ED2B5}"/>
    <hyperlink ref="B51" r:id="rId42" display="https://fbref.com/en/squads/8602292d/2023-2024/Aston-Villa-Stats" xr:uid="{052D65D4-D4AC-744D-8C5C-E4D4F68F0F01}"/>
    <hyperlink ref="B52" r:id="rId43" display="https://fbref.com/en/squads/4ba7cbea/2023-2024/Bournemouth-Stats" xr:uid="{720BEB34-2BA5-EE4E-8CFF-FED73305C51F}"/>
    <hyperlink ref="B53" r:id="rId44" display="https://fbref.com/en/squads/cd051869/2023-2024/Brentford-Stats" xr:uid="{DB21FCB6-295F-B145-974E-141A00748795}"/>
    <hyperlink ref="B54" r:id="rId45" display="https://fbref.com/en/squads/d07537b9/2023-2024/Brighton-and-Hove-Albion-Stats" xr:uid="{AAFFAE1F-05AD-5F49-957B-317B7A76FE2F}"/>
    <hyperlink ref="B55" r:id="rId46" display="https://fbref.com/en/squads/943e8050/2023-2024/Burnley-Stats" xr:uid="{E1C30EB7-A7E4-254A-9261-E6E15E6CED0E}"/>
    <hyperlink ref="B56" r:id="rId47" display="https://fbref.com/en/squads/cff3d9bb/2023-2024/Chelsea-Stats" xr:uid="{CA49F7AB-E4EB-C94E-BBDF-85F7DD2D9A75}"/>
    <hyperlink ref="B57" r:id="rId48" display="https://fbref.com/en/squads/47c64c55/2023-2024/Crystal-Palace-Stats" xr:uid="{1F1F87DF-06A6-304C-A7B9-D52E1760281D}"/>
    <hyperlink ref="B58" r:id="rId49" display="https://fbref.com/en/squads/d3fd31cc/2023-2024/Everton-Stats" xr:uid="{5C98A65E-0C08-4541-9416-C66F8143BD7C}"/>
    <hyperlink ref="B59" r:id="rId50" display="https://fbref.com/en/squads/fd962109/2023-2024/Fulham-Stats" xr:uid="{0570B50C-1633-BE4F-BF0F-CD5990EB4BF8}"/>
    <hyperlink ref="B60" r:id="rId51" display="https://fbref.com/en/squads/822bd0ba/2023-2024/Liverpool-Stats" xr:uid="{3B931360-B7E8-854F-9808-71023E8E5289}"/>
    <hyperlink ref="B61" r:id="rId52" display="https://fbref.com/en/squads/e297cd13/2023-2024/Luton-Town-Stats" xr:uid="{3743F6FC-8F92-5941-B0A1-0ACF497BCB7E}"/>
    <hyperlink ref="B62" r:id="rId53" display="https://fbref.com/en/squads/b8fd03ef/2023-2024/Manchester-City-Stats" xr:uid="{F086CEC2-C796-784B-B0DD-DE67B439D99F}"/>
    <hyperlink ref="B63" r:id="rId54" display="https://fbref.com/en/squads/19538871/2023-2024/Manchester-United-Stats" xr:uid="{BCC95322-33AE-954A-9839-9349A489155E}"/>
    <hyperlink ref="B64" r:id="rId55" display="https://fbref.com/en/squads/b2b47a98/2023-2024/Newcastle-United-Stats" xr:uid="{BEF1D96C-F559-A14D-868A-FE43A56A3DCD}"/>
    <hyperlink ref="B65" r:id="rId56" display="https://fbref.com/en/squads/e4a775cb/2023-2024/Nottingham-Forest-Stats" xr:uid="{ED2622A7-8533-7B44-A229-61A7141D8D2E}"/>
    <hyperlink ref="B66" r:id="rId57" display="https://fbref.com/en/squads/1df6b87e/2023-2024/Sheffield-United-Stats" xr:uid="{8C25B93C-3503-F240-A30B-9714FB1D0F5F}"/>
    <hyperlink ref="B67" r:id="rId58" display="https://fbref.com/en/squads/361ca564/2023-2024/Tottenham-Hotspur-Stats" xr:uid="{14D5FD46-FA21-B54F-8AFB-A8AC7BDB0A9B}"/>
    <hyperlink ref="B68" r:id="rId59" display="https://fbref.com/en/squads/7c21e445/2023-2024/West-Ham-United-Stats" xr:uid="{D75C097B-6639-844A-B1CD-632ED1C0D968}"/>
    <hyperlink ref="B69" r:id="rId60" display="https://fbref.com/en/squads/8cec06e1/2023-2024/Wolverhampton-Wanderers-Stats" xr:uid="{2059A13B-D1CC-1A4A-B929-7A16C75C5201}"/>
  </hyperlinks>
  <pageMargins left="0.7" right="0.7" top="0.75" bottom="0.75" header="0.3" footer="0.3"/>
  <pageSetup orientation="portrait" horizontalDpi="0" verticalDpi="0"/>
  <drawing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8B36-3A35-F44E-8AD9-7F77152BB074}">
  <sheetPr codeName="Sheet2"/>
  <dimension ref="B1:Z91"/>
  <sheetViews>
    <sheetView showGridLines="0" zoomScaleNormal="100" workbookViewId="0"/>
  </sheetViews>
  <sheetFormatPr baseColWidth="10" defaultRowHeight="16" x14ac:dyDescent="0.2"/>
  <cols>
    <col min="1" max="1" width="10.83203125" style="6"/>
    <col min="2" max="2" width="22.83203125" style="6" customWidth="1"/>
    <col min="3" max="26" width="18.83203125" style="6" customWidth="1"/>
    <col min="27" max="31" width="17.33203125" style="6" customWidth="1"/>
    <col min="32" max="16384" width="10.83203125" style="6"/>
  </cols>
  <sheetData>
    <row r="1" spans="2:26" x14ac:dyDescent="0.2">
      <c r="B1" s="7"/>
      <c r="C1" s="30"/>
    </row>
    <row r="2" spans="2:26" ht="16" customHeight="1" x14ac:dyDescent="0.2">
      <c r="B2" s="29" t="s">
        <v>53</v>
      </c>
      <c r="H2" s="7"/>
      <c r="I2" s="7"/>
      <c r="J2" s="15"/>
      <c r="N2" s="29"/>
    </row>
    <row r="3" spans="2:26" ht="16" customHeight="1" x14ac:dyDescent="0.2">
      <c r="E3" s="7"/>
      <c r="F3" s="7"/>
      <c r="G3" s="7"/>
      <c r="H3" s="7"/>
      <c r="I3" s="7"/>
      <c r="J3" s="15"/>
      <c r="N3" s="29"/>
    </row>
    <row r="4" spans="2:26" ht="16" customHeight="1" x14ac:dyDescent="0.2">
      <c r="B4" s="164" t="s">
        <v>21</v>
      </c>
      <c r="C4" s="161" t="s">
        <v>38</v>
      </c>
      <c r="D4" s="162"/>
      <c r="E4" s="162"/>
      <c r="F4" s="162"/>
      <c r="G4" s="162"/>
      <c r="H4" s="162"/>
      <c r="I4" s="162"/>
      <c r="J4" s="163"/>
      <c r="K4" s="161" t="s">
        <v>42</v>
      </c>
      <c r="L4" s="162"/>
      <c r="M4" s="162"/>
      <c r="N4" s="162"/>
      <c r="O4" s="162"/>
      <c r="P4" s="162"/>
      <c r="Q4" s="162"/>
      <c r="R4" s="163"/>
      <c r="S4" s="161" t="s">
        <v>46</v>
      </c>
      <c r="T4" s="162"/>
      <c r="U4" s="162"/>
      <c r="V4" s="162"/>
      <c r="W4" s="162"/>
      <c r="X4" s="162"/>
      <c r="Y4" s="162"/>
      <c r="Z4" s="163"/>
    </row>
    <row r="5" spans="2:26" ht="16" customHeight="1" x14ac:dyDescent="0.2">
      <c r="B5" s="165"/>
      <c r="C5" s="27" t="s">
        <v>37</v>
      </c>
      <c r="D5" s="9" t="s">
        <v>22</v>
      </c>
      <c r="E5" s="9" t="s">
        <v>23</v>
      </c>
      <c r="F5" s="9" t="s">
        <v>51</v>
      </c>
      <c r="G5" s="9" t="s">
        <v>30</v>
      </c>
      <c r="H5" s="9" t="s">
        <v>49</v>
      </c>
      <c r="I5" s="9" t="s">
        <v>50</v>
      </c>
      <c r="J5" s="25" t="s">
        <v>52</v>
      </c>
      <c r="K5" s="27" t="s">
        <v>37</v>
      </c>
      <c r="L5" s="9" t="s">
        <v>22</v>
      </c>
      <c r="M5" s="9" t="s">
        <v>23</v>
      </c>
      <c r="N5" s="9" t="s">
        <v>51</v>
      </c>
      <c r="O5" s="9" t="s">
        <v>30</v>
      </c>
      <c r="P5" s="9" t="s">
        <v>49</v>
      </c>
      <c r="Q5" s="9" t="s">
        <v>50</v>
      </c>
      <c r="R5" s="25" t="s">
        <v>52</v>
      </c>
      <c r="S5" s="27" t="s">
        <v>37</v>
      </c>
      <c r="T5" s="9" t="s">
        <v>22</v>
      </c>
      <c r="U5" s="9" t="s">
        <v>23</v>
      </c>
      <c r="V5" s="9" t="s">
        <v>51</v>
      </c>
      <c r="W5" s="9" t="s">
        <v>30</v>
      </c>
      <c r="X5" s="9" t="s">
        <v>49</v>
      </c>
      <c r="Y5" s="9" t="s">
        <v>50</v>
      </c>
      <c r="Z5" s="25" t="s">
        <v>52</v>
      </c>
    </row>
    <row r="6" spans="2:26" ht="16" customHeight="1" x14ac:dyDescent="0.2">
      <c r="B6" s="35" t="s">
        <v>4</v>
      </c>
      <c r="C6" s="41">
        <v>59899</v>
      </c>
      <c r="D6" s="42">
        <v>19</v>
      </c>
      <c r="E6" s="47">
        <v>14</v>
      </c>
      <c r="F6" s="48">
        <f>'Clean Data'!E6/'Clean Data'!D6</f>
        <v>0.73684210526315785</v>
      </c>
      <c r="G6" s="47">
        <v>2.37</v>
      </c>
      <c r="H6" s="47">
        <v>26</v>
      </c>
      <c r="I6" s="47">
        <v>-4</v>
      </c>
      <c r="J6" s="43">
        <f t="shared" ref="J6:J19" si="0">H6-I6</f>
        <v>30</v>
      </c>
      <c r="K6" s="22">
        <v>632</v>
      </c>
      <c r="L6" s="11">
        <v>19</v>
      </c>
      <c r="M6" s="11">
        <v>8</v>
      </c>
      <c r="N6" s="31">
        <f>'Clean Data'!M6/'Clean Data'!L6</f>
        <v>0.42105263157894735</v>
      </c>
      <c r="O6" s="11">
        <v>1.47</v>
      </c>
      <c r="P6" s="11">
        <v>3</v>
      </c>
      <c r="Q6" s="11">
        <v>13</v>
      </c>
      <c r="R6" s="18">
        <f t="shared" ref="R6:R19" si="1">P6-Q6</f>
        <v>-10</v>
      </c>
      <c r="S6" s="17">
        <v>60236</v>
      </c>
      <c r="T6" s="11">
        <v>19</v>
      </c>
      <c r="U6" s="11">
        <v>15</v>
      </c>
      <c r="V6" s="31">
        <f>'Clean Data'!U6/'Clean Data'!T6</f>
        <v>0.78947368421052633</v>
      </c>
      <c r="W6" s="11">
        <v>2.4700000000000002</v>
      </c>
      <c r="X6" s="11">
        <v>32</v>
      </c>
      <c r="Y6" s="11">
        <v>30</v>
      </c>
      <c r="Z6" s="18">
        <f t="shared" ref="Z6:Z18" si="2">X6-Y6</f>
        <v>2</v>
      </c>
    </row>
    <row r="7" spans="2:26" ht="16" customHeight="1" x14ac:dyDescent="0.2">
      <c r="B7" s="35" t="s">
        <v>16</v>
      </c>
      <c r="C7" s="41">
        <v>30426</v>
      </c>
      <c r="D7" s="42">
        <v>19</v>
      </c>
      <c r="E7" s="47">
        <v>6</v>
      </c>
      <c r="F7" s="48">
        <f>'Clean Data'!E7/'Clean Data'!D7</f>
        <v>0.31578947368421051</v>
      </c>
      <c r="G7" s="47">
        <v>1.21</v>
      </c>
      <c r="H7" s="47">
        <v>-9</v>
      </c>
      <c r="I7" s="47">
        <v>-16</v>
      </c>
      <c r="J7" s="43">
        <f t="shared" si="0"/>
        <v>7</v>
      </c>
      <c r="K7" s="22">
        <v>523</v>
      </c>
      <c r="L7" s="11">
        <v>19</v>
      </c>
      <c r="M7" s="11">
        <v>4</v>
      </c>
      <c r="N7" s="31">
        <f>'Clean Data'!M7/'Clean Data'!L7</f>
        <v>0.21052631578947367</v>
      </c>
      <c r="O7" s="11">
        <v>1.1100000000000001</v>
      </c>
      <c r="P7" s="11">
        <v>0</v>
      </c>
      <c r="Q7" s="11">
        <v>-6</v>
      </c>
      <c r="R7" s="18">
        <f t="shared" si="1"/>
        <v>6</v>
      </c>
      <c r="S7" s="17">
        <v>32638</v>
      </c>
      <c r="T7" s="11">
        <v>19</v>
      </c>
      <c r="U7" s="11">
        <v>8</v>
      </c>
      <c r="V7" s="31">
        <f>'Clean Data'!U7/'Clean Data'!T7</f>
        <v>0.42105263157894735</v>
      </c>
      <c r="W7" s="11">
        <v>1.58</v>
      </c>
      <c r="X7" s="11">
        <v>3</v>
      </c>
      <c r="Y7" s="11">
        <v>-10</v>
      </c>
      <c r="Z7" s="18">
        <f t="shared" si="2"/>
        <v>13</v>
      </c>
    </row>
    <row r="8" spans="2:26" ht="16" customHeight="1" x14ac:dyDescent="0.2">
      <c r="B8" s="35" t="s">
        <v>14</v>
      </c>
      <c r="C8" s="41">
        <v>20534</v>
      </c>
      <c r="D8" s="42">
        <v>19</v>
      </c>
      <c r="E8" s="47">
        <v>7</v>
      </c>
      <c r="F8" s="48">
        <f>'Clean Data'!E8/'Clean Data'!D8</f>
        <v>0.36842105263157893</v>
      </c>
      <c r="G8" s="47">
        <v>1.21</v>
      </c>
      <c r="H8" s="47">
        <v>-8</v>
      </c>
      <c r="I8" s="47">
        <v>-15</v>
      </c>
      <c r="J8" s="43">
        <f t="shared" si="0"/>
        <v>7</v>
      </c>
      <c r="K8" s="22">
        <v>178</v>
      </c>
      <c r="L8" s="11">
        <v>19</v>
      </c>
      <c r="M8" s="11">
        <v>4</v>
      </c>
      <c r="N8" s="31">
        <f>'Clean Data'!M8/'Clean Data'!L8</f>
        <v>0.21052631578947367</v>
      </c>
      <c r="O8" s="11">
        <v>0.95</v>
      </c>
      <c r="P8" s="11">
        <v>-13</v>
      </c>
      <c r="Q8" s="11">
        <v>-9</v>
      </c>
      <c r="R8" s="18">
        <f t="shared" si="1"/>
        <v>-4</v>
      </c>
      <c r="S8" s="17">
        <v>21184</v>
      </c>
      <c r="T8" s="11">
        <v>19</v>
      </c>
      <c r="U8" s="11">
        <v>2</v>
      </c>
      <c r="V8" s="31">
        <f>'Clean Data'!U8/'Clean Data'!T8</f>
        <v>0.10526315789473684</v>
      </c>
      <c r="W8" s="11">
        <v>0.53</v>
      </c>
      <c r="X8" s="11">
        <v>-24</v>
      </c>
      <c r="Y8" s="11">
        <v>-13</v>
      </c>
      <c r="Z8" s="18">
        <f t="shared" si="2"/>
        <v>-11</v>
      </c>
    </row>
    <row r="9" spans="2:26" ht="16" customHeight="1" x14ac:dyDescent="0.2">
      <c r="B9" s="35" t="s">
        <v>2</v>
      </c>
      <c r="C9" s="41">
        <v>40437</v>
      </c>
      <c r="D9" s="42">
        <v>19</v>
      </c>
      <c r="E9" s="47">
        <v>12</v>
      </c>
      <c r="F9" s="48">
        <f>'Clean Data'!E9/'Clean Data'!D9</f>
        <v>0.63157894736842102</v>
      </c>
      <c r="G9" s="47">
        <v>2.21</v>
      </c>
      <c r="H9" s="47">
        <v>27</v>
      </c>
      <c r="I9" s="47">
        <v>-3</v>
      </c>
      <c r="J9" s="43">
        <f t="shared" si="0"/>
        <v>30</v>
      </c>
      <c r="K9" s="22">
        <v>526</v>
      </c>
      <c r="L9" s="11">
        <v>19</v>
      </c>
      <c r="M9" s="11">
        <v>9</v>
      </c>
      <c r="N9" s="31">
        <f>'Clean Data'!M9/'Clean Data'!L9</f>
        <v>0.47368421052631576</v>
      </c>
      <c r="O9" s="11">
        <v>1.74</v>
      </c>
      <c r="P9" s="11">
        <v>13</v>
      </c>
      <c r="Q9" s="11">
        <v>9</v>
      </c>
      <c r="R9" s="18">
        <f t="shared" si="1"/>
        <v>4</v>
      </c>
      <c r="S9" s="17">
        <v>39524</v>
      </c>
      <c r="T9" s="11">
        <v>19</v>
      </c>
      <c r="U9" s="11">
        <v>11</v>
      </c>
      <c r="V9" s="31">
        <f>'Clean Data'!U9/'Clean Data'!T9</f>
        <v>0.57894736842105265</v>
      </c>
      <c r="W9" s="11">
        <v>1.95</v>
      </c>
      <c r="X9" s="11">
        <v>18</v>
      </c>
      <c r="Y9" s="11">
        <v>-4</v>
      </c>
      <c r="Z9" s="18">
        <f t="shared" si="2"/>
        <v>22</v>
      </c>
    </row>
    <row r="10" spans="2:26" ht="16" customHeight="1" x14ac:dyDescent="0.2">
      <c r="B10" s="35" t="s">
        <v>11</v>
      </c>
      <c r="C10" s="41">
        <v>25455</v>
      </c>
      <c r="D10" s="42">
        <v>19</v>
      </c>
      <c r="E10" s="47">
        <v>5</v>
      </c>
      <c r="F10" s="48">
        <f>'Clean Data'!E10/'Clean Data'!D10</f>
        <v>0.26315789473684209</v>
      </c>
      <c r="G10" s="47">
        <v>1.05</v>
      </c>
      <c r="H10" s="47">
        <v>-4</v>
      </c>
      <c r="I10" s="47">
        <v>2</v>
      </c>
      <c r="J10" s="43">
        <f t="shared" si="0"/>
        <v>-6</v>
      </c>
      <c r="K10" s="22">
        <v>447</v>
      </c>
      <c r="L10" s="11">
        <v>19</v>
      </c>
      <c r="M10" s="11">
        <v>6</v>
      </c>
      <c r="N10" s="31">
        <f>'Clean Data'!M10/'Clean Data'!L10</f>
        <v>0.31578947368421051</v>
      </c>
      <c r="O10" s="11">
        <v>1.21</v>
      </c>
      <c r="P10" s="11">
        <v>-12</v>
      </c>
      <c r="Q10" s="11">
        <v>-13</v>
      </c>
      <c r="R10" s="18">
        <f t="shared" si="1"/>
        <v>1</v>
      </c>
      <c r="S10" s="17">
        <v>24932</v>
      </c>
      <c r="T10" s="11">
        <v>19</v>
      </c>
      <c r="U10" s="11">
        <v>8</v>
      </c>
      <c r="V10" s="31">
        <f>'Clean Data'!U10/'Clean Data'!T10</f>
        <v>0.42105263157894735</v>
      </c>
      <c r="W10" s="11">
        <v>1.47</v>
      </c>
      <c r="X10" s="11">
        <v>11</v>
      </c>
      <c r="Y10" s="11">
        <v>-12</v>
      </c>
      <c r="Z10" s="18">
        <f t="shared" si="2"/>
        <v>23</v>
      </c>
    </row>
    <row r="11" spans="2:26" ht="16" customHeight="1" x14ac:dyDescent="0.2">
      <c r="B11" s="35" t="s">
        <v>7</v>
      </c>
      <c r="C11" s="41">
        <v>39043</v>
      </c>
      <c r="D11" s="42">
        <v>19</v>
      </c>
      <c r="E11" s="47">
        <v>10</v>
      </c>
      <c r="F11" s="48">
        <f>'Clean Data'!E11/'Clean Data'!D11</f>
        <v>0.52631578947368418</v>
      </c>
      <c r="G11" s="47">
        <v>1.79</v>
      </c>
      <c r="H11" s="47">
        <v>9</v>
      </c>
      <c r="I11" s="47">
        <v>-1</v>
      </c>
      <c r="J11" s="43">
        <f t="shared" si="0"/>
        <v>10</v>
      </c>
      <c r="K11" s="22">
        <v>368</v>
      </c>
      <c r="L11" s="11">
        <v>19</v>
      </c>
      <c r="M11" s="11">
        <v>6</v>
      </c>
      <c r="N11" s="31">
        <f>'Clean Data'!M11/'Clean Data'!L11</f>
        <v>0.31578947368421051</v>
      </c>
      <c r="O11" s="11">
        <v>1.1599999999999999</v>
      </c>
      <c r="P11" s="11">
        <v>-4</v>
      </c>
      <c r="Q11" s="11">
        <v>3</v>
      </c>
      <c r="R11" s="18">
        <f t="shared" si="1"/>
        <v>-7</v>
      </c>
      <c r="S11" s="17">
        <v>39042</v>
      </c>
      <c r="T11" s="11">
        <v>19</v>
      </c>
      <c r="U11" s="11">
        <v>8</v>
      </c>
      <c r="V11" s="31">
        <f>'Clean Data'!U11/'Clean Data'!T11</f>
        <v>0.42105263157894735</v>
      </c>
      <c r="W11" s="11">
        <v>1.47</v>
      </c>
      <c r="X11" s="11">
        <v>4</v>
      </c>
      <c r="Y11" s="11">
        <v>-15</v>
      </c>
      <c r="Z11" s="18">
        <f t="shared" si="2"/>
        <v>19</v>
      </c>
    </row>
    <row r="12" spans="2:26" ht="16" customHeight="1" x14ac:dyDescent="0.2">
      <c r="B12" s="35" t="s">
        <v>18</v>
      </c>
      <c r="C12" s="41">
        <v>24371</v>
      </c>
      <c r="D12" s="42">
        <v>19</v>
      </c>
      <c r="E12" s="47">
        <v>6</v>
      </c>
      <c r="F12" s="48">
        <f>'Clean Data'!E12/'Clean Data'!D12</f>
        <v>0.31578947368421051</v>
      </c>
      <c r="G12" s="47">
        <v>1.1100000000000001</v>
      </c>
      <c r="H12" s="47">
        <v>-14</v>
      </c>
      <c r="I12" s="47">
        <v>-33</v>
      </c>
      <c r="J12" s="43">
        <f t="shared" si="0"/>
        <v>19</v>
      </c>
      <c r="K12" s="22">
        <v>211</v>
      </c>
      <c r="L12" s="11">
        <v>19</v>
      </c>
      <c r="M12" s="11">
        <v>2</v>
      </c>
      <c r="N12" s="31">
        <f>'Clean Data'!M12/'Clean Data'!L12</f>
        <v>0.10526315789473684</v>
      </c>
      <c r="O12" s="11">
        <v>0.53</v>
      </c>
      <c r="P12" s="11">
        <v>-19</v>
      </c>
      <c r="Q12" s="11">
        <v>-7</v>
      </c>
      <c r="R12" s="18">
        <f t="shared" si="1"/>
        <v>-12</v>
      </c>
      <c r="S12" s="17">
        <v>24302</v>
      </c>
      <c r="T12" s="11">
        <v>19</v>
      </c>
      <c r="U12" s="11">
        <v>9</v>
      </c>
      <c r="V12" s="31">
        <f>'Clean Data'!U12/'Clean Data'!T12</f>
        <v>0.47368421052631576</v>
      </c>
      <c r="W12" s="11">
        <v>1.53</v>
      </c>
      <c r="X12" s="11">
        <v>7</v>
      </c>
      <c r="Y12" s="11">
        <v>-13</v>
      </c>
      <c r="Z12" s="18">
        <f t="shared" si="2"/>
        <v>20</v>
      </c>
    </row>
    <row r="13" spans="2:26" ht="16" customHeight="1" x14ac:dyDescent="0.2">
      <c r="B13" s="35" t="s">
        <v>1</v>
      </c>
      <c r="C13" s="41">
        <v>52983</v>
      </c>
      <c r="D13" s="42">
        <v>19</v>
      </c>
      <c r="E13" s="47">
        <v>17</v>
      </c>
      <c r="F13" s="48">
        <f>'Clean Data'!E13/'Clean Data'!D13</f>
        <v>0.89473684210526316</v>
      </c>
      <c r="G13" s="47">
        <v>2.79</v>
      </c>
      <c r="H13" s="47">
        <v>45</v>
      </c>
      <c r="I13" s="47">
        <v>22</v>
      </c>
      <c r="J13" s="43">
        <f t="shared" si="0"/>
        <v>23</v>
      </c>
      <c r="K13" s="22">
        <v>837</v>
      </c>
      <c r="L13" s="11">
        <v>19</v>
      </c>
      <c r="M13" s="11">
        <v>10</v>
      </c>
      <c r="N13" s="31">
        <f>'Clean Data'!M13/'Clean Data'!L13</f>
        <v>0.52631578947368418</v>
      </c>
      <c r="O13" s="11">
        <v>1.74</v>
      </c>
      <c r="P13" s="11">
        <v>9</v>
      </c>
      <c r="Q13" s="11">
        <v>17</v>
      </c>
      <c r="R13" s="18">
        <f t="shared" si="1"/>
        <v>-8</v>
      </c>
      <c r="S13" s="17">
        <v>55979</v>
      </c>
      <c r="T13" s="11">
        <v>19</v>
      </c>
      <c r="U13" s="11">
        <v>15</v>
      </c>
      <c r="V13" s="31">
        <f>'Clean Data'!U13/'Clean Data'!T13</f>
        <v>0.78947368421052633</v>
      </c>
      <c r="W13" s="11">
        <v>2.5299999999999998</v>
      </c>
      <c r="X13" s="11">
        <v>32</v>
      </c>
      <c r="Y13" s="11">
        <v>13</v>
      </c>
      <c r="Z13" s="18">
        <f t="shared" si="2"/>
        <v>19</v>
      </c>
    </row>
    <row r="14" spans="2:26" ht="16" customHeight="1" x14ac:dyDescent="0.2">
      <c r="B14" s="35" t="s">
        <v>0</v>
      </c>
      <c r="C14" s="41">
        <v>54130</v>
      </c>
      <c r="D14" s="42">
        <v>19</v>
      </c>
      <c r="E14" s="47">
        <v>18</v>
      </c>
      <c r="F14" s="48">
        <f>'Clean Data'!E14/'Clean Data'!D14</f>
        <v>0.94736842105263153</v>
      </c>
      <c r="G14" s="47">
        <v>2.84</v>
      </c>
      <c r="H14" s="47">
        <v>45</v>
      </c>
      <c r="I14" s="47">
        <v>27</v>
      </c>
      <c r="J14" s="43">
        <f t="shared" si="0"/>
        <v>18</v>
      </c>
      <c r="K14" s="22">
        <v>526</v>
      </c>
      <c r="L14" s="11">
        <v>19</v>
      </c>
      <c r="M14" s="11">
        <v>13</v>
      </c>
      <c r="N14" s="31">
        <f>'Clean Data'!M14/'Clean Data'!L14</f>
        <v>0.68421052631578949</v>
      </c>
      <c r="O14" s="11">
        <v>2.16</v>
      </c>
      <c r="P14" s="11">
        <v>26</v>
      </c>
      <c r="Q14" s="11">
        <v>25</v>
      </c>
      <c r="R14" s="18">
        <f t="shared" si="1"/>
        <v>1</v>
      </c>
      <c r="S14" s="17">
        <v>53012</v>
      </c>
      <c r="T14" s="11">
        <v>19</v>
      </c>
      <c r="U14" s="11">
        <v>14</v>
      </c>
      <c r="V14" s="31">
        <f>'Clean Data'!U14/'Clean Data'!T14</f>
        <v>0.73684210526315785</v>
      </c>
      <c r="W14" s="11">
        <v>2.4700000000000002</v>
      </c>
      <c r="X14" s="11">
        <v>35</v>
      </c>
      <c r="Y14" s="11">
        <v>27</v>
      </c>
      <c r="Z14" s="18">
        <f t="shared" si="2"/>
        <v>8</v>
      </c>
    </row>
    <row r="15" spans="2:26" ht="16" customHeight="1" x14ac:dyDescent="0.2">
      <c r="B15" s="35" t="s">
        <v>5</v>
      </c>
      <c r="C15" s="41">
        <v>74498</v>
      </c>
      <c r="D15" s="42">
        <v>19</v>
      </c>
      <c r="E15" s="47">
        <v>10</v>
      </c>
      <c r="F15" s="48">
        <f>'Clean Data'!E15/'Clean Data'!D15</f>
        <v>0.52631578947368418</v>
      </c>
      <c r="G15" s="47">
        <v>1.89</v>
      </c>
      <c r="H15" s="47">
        <v>8</v>
      </c>
      <c r="I15" s="47">
        <v>3</v>
      </c>
      <c r="J15" s="43">
        <f t="shared" si="0"/>
        <v>5</v>
      </c>
      <c r="K15" s="22">
        <v>526</v>
      </c>
      <c r="L15" s="11">
        <v>19</v>
      </c>
      <c r="M15" s="11">
        <v>9</v>
      </c>
      <c r="N15" s="31">
        <f>'Clean Data'!M15/'Clean Data'!L15</f>
        <v>0.47368421052631576</v>
      </c>
      <c r="O15" s="11">
        <v>1.63</v>
      </c>
      <c r="P15" s="11">
        <v>10</v>
      </c>
      <c r="Q15" s="11">
        <v>19</v>
      </c>
      <c r="R15" s="18">
        <f t="shared" si="1"/>
        <v>-9</v>
      </c>
      <c r="S15" s="17">
        <v>73533</v>
      </c>
      <c r="T15" s="11">
        <v>19</v>
      </c>
      <c r="U15" s="11">
        <v>10</v>
      </c>
      <c r="V15" s="31">
        <f>'Clean Data'!U15/'Clean Data'!T15</f>
        <v>0.52631578947368418</v>
      </c>
      <c r="W15" s="11">
        <v>1.74</v>
      </c>
      <c r="X15" s="11">
        <v>3</v>
      </c>
      <c r="Y15" s="11">
        <v>-4</v>
      </c>
      <c r="Z15" s="18">
        <f t="shared" si="2"/>
        <v>7</v>
      </c>
    </row>
    <row r="16" spans="2:26" ht="16" customHeight="1" x14ac:dyDescent="0.2">
      <c r="B16" s="35" t="s">
        <v>12</v>
      </c>
      <c r="C16" s="41">
        <v>51121</v>
      </c>
      <c r="D16" s="42">
        <v>19</v>
      </c>
      <c r="E16" s="47">
        <v>8</v>
      </c>
      <c r="F16" s="48">
        <f>'Clean Data'!E16/'Clean Data'!D16</f>
        <v>0.42105263157894735</v>
      </c>
      <c r="G16" s="47">
        <v>1.32</v>
      </c>
      <c r="H16" s="47">
        <v>-1</v>
      </c>
      <c r="I16" s="47">
        <v>-5</v>
      </c>
      <c r="J16" s="43">
        <f t="shared" si="0"/>
        <v>4</v>
      </c>
      <c r="K16" s="22">
        <v>526</v>
      </c>
      <c r="L16" s="11">
        <v>19</v>
      </c>
      <c r="M16" s="11">
        <v>6</v>
      </c>
      <c r="N16" s="31">
        <f>'Clean Data'!M16/'Clean Data'!L16</f>
        <v>0.31578947368421051</v>
      </c>
      <c r="O16" s="11">
        <v>1.21</v>
      </c>
      <c r="P16" s="11">
        <v>-7</v>
      </c>
      <c r="Q16" s="11">
        <v>-9</v>
      </c>
      <c r="R16" s="18">
        <f t="shared" si="1"/>
        <v>2</v>
      </c>
      <c r="S16" s="17">
        <v>52125</v>
      </c>
      <c r="T16" s="11">
        <v>19</v>
      </c>
      <c r="U16" s="11">
        <v>12</v>
      </c>
      <c r="V16" s="31">
        <f>'Clean Data'!U16/'Clean Data'!T16</f>
        <v>0.63157894736842102</v>
      </c>
      <c r="W16" s="11">
        <v>2.11</v>
      </c>
      <c r="X16" s="11">
        <v>27</v>
      </c>
      <c r="Y16" s="11">
        <v>-4</v>
      </c>
      <c r="Z16" s="18">
        <f t="shared" si="2"/>
        <v>31</v>
      </c>
    </row>
    <row r="17" spans="2:26" ht="16" customHeight="1" x14ac:dyDescent="0.2">
      <c r="B17" s="35" t="s">
        <v>3</v>
      </c>
      <c r="C17" s="41">
        <v>54216</v>
      </c>
      <c r="D17" s="42">
        <v>19</v>
      </c>
      <c r="E17" s="47">
        <v>12</v>
      </c>
      <c r="F17" s="48">
        <f>'Clean Data'!E17/'Clean Data'!D17</f>
        <v>0.63157894736842102</v>
      </c>
      <c r="G17" s="47">
        <v>2</v>
      </c>
      <c r="H17" s="47">
        <v>18</v>
      </c>
      <c r="I17" s="47">
        <v>10</v>
      </c>
      <c r="J17" s="43">
        <f t="shared" si="0"/>
        <v>8</v>
      </c>
      <c r="K17" s="22">
        <v>632</v>
      </c>
      <c r="L17" s="11">
        <v>19</v>
      </c>
      <c r="M17" s="11">
        <v>10</v>
      </c>
      <c r="N17" s="31">
        <f>'Clean Data'!M17/'Clean Data'!L17</f>
        <v>0.52631578947368418</v>
      </c>
      <c r="O17" s="11">
        <v>1.74</v>
      </c>
      <c r="P17" s="11">
        <v>15</v>
      </c>
      <c r="Q17" s="11">
        <v>8</v>
      </c>
      <c r="R17" s="18">
        <f t="shared" si="1"/>
        <v>7</v>
      </c>
      <c r="S17" s="17">
        <v>61482</v>
      </c>
      <c r="T17" s="11">
        <v>19</v>
      </c>
      <c r="U17" s="11">
        <v>13</v>
      </c>
      <c r="V17" s="31">
        <f>'Clean Data'!U17/'Clean Data'!T17</f>
        <v>0.68421052631578949</v>
      </c>
      <c r="W17" s="11">
        <v>2.0499999999999998</v>
      </c>
      <c r="X17" s="11">
        <v>11</v>
      </c>
      <c r="Y17" s="11">
        <v>2</v>
      </c>
      <c r="Z17" s="18">
        <f t="shared" si="2"/>
        <v>9</v>
      </c>
    </row>
    <row r="18" spans="2:26" ht="16" customHeight="1" x14ac:dyDescent="0.2">
      <c r="B18" s="35" t="s">
        <v>9</v>
      </c>
      <c r="C18" s="41">
        <v>58336</v>
      </c>
      <c r="D18" s="42">
        <v>19</v>
      </c>
      <c r="E18" s="47">
        <v>9</v>
      </c>
      <c r="F18" s="48">
        <f>'Clean Data'!E18/'Clean Data'!D18</f>
        <v>0.47368421052631576</v>
      </c>
      <c r="G18" s="47">
        <v>1.63</v>
      </c>
      <c r="H18" s="47">
        <v>5</v>
      </c>
      <c r="I18" s="47">
        <v>-8</v>
      </c>
      <c r="J18" s="43">
        <f t="shared" si="0"/>
        <v>13</v>
      </c>
      <c r="K18" s="22">
        <v>632</v>
      </c>
      <c r="L18" s="11">
        <v>19</v>
      </c>
      <c r="M18" s="11">
        <v>10</v>
      </c>
      <c r="N18" s="31">
        <f>'Clean Data'!M18/'Clean Data'!L18</f>
        <v>0.52631578947368418</v>
      </c>
      <c r="O18" s="11">
        <v>1.79</v>
      </c>
      <c r="P18" s="11">
        <v>10</v>
      </c>
      <c r="Q18" s="11">
        <v>5</v>
      </c>
      <c r="R18" s="18">
        <f t="shared" si="1"/>
        <v>5</v>
      </c>
      <c r="S18" s="17">
        <v>62567</v>
      </c>
      <c r="T18" s="11">
        <v>19</v>
      </c>
      <c r="U18" s="11">
        <v>7</v>
      </c>
      <c r="V18" s="31">
        <f>'Clean Data'!U18/'Clean Data'!T18</f>
        <v>0.36842105263157893</v>
      </c>
      <c r="W18" s="11">
        <v>1.53</v>
      </c>
      <c r="X18" s="11">
        <v>3</v>
      </c>
      <c r="Y18" s="11">
        <v>-17</v>
      </c>
      <c r="Z18" s="18">
        <f t="shared" si="2"/>
        <v>20</v>
      </c>
    </row>
    <row r="19" spans="2:26" ht="16" customHeight="1" x14ac:dyDescent="0.2">
      <c r="B19" s="36" t="s">
        <v>6</v>
      </c>
      <c r="C19" s="44">
        <v>31030</v>
      </c>
      <c r="D19" s="45">
        <v>19</v>
      </c>
      <c r="E19" s="49">
        <v>10</v>
      </c>
      <c r="F19" s="50">
        <f>'Clean Data'!E19/'Clean Data'!D19</f>
        <v>0.52631578947368418</v>
      </c>
      <c r="G19" s="49">
        <v>1.79</v>
      </c>
      <c r="H19" s="49">
        <v>7</v>
      </c>
      <c r="I19" s="49">
        <v>-6</v>
      </c>
      <c r="J19" s="46">
        <f t="shared" si="0"/>
        <v>13</v>
      </c>
      <c r="K19" s="23">
        <v>237</v>
      </c>
      <c r="L19" s="20">
        <v>19</v>
      </c>
      <c r="M19" s="20">
        <v>7</v>
      </c>
      <c r="N19" s="37">
        <f>'Clean Data'!M19/'Clean Data'!L19</f>
        <v>0.36842105263157893</v>
      </c>
      <c r="O19" s="20">
        <v>1.32</v>
      </c>
      <c r="P19" s="20">
        <v>-4</v>
      </c>
      <c r="Q19" s="20">
        <v>-12</v>
      </c>
      <c r="R19" s="21">
        <f t="shared" si="1"/>
        <v>8</v>
      </c>
      <c r="S19" s="19">
        <v>31029</v>
      </c>
      <c r="T19" s="20">
        <v>19</v>
      </c>
      <c r="U19" s="20">
        <v>8</v>
      </c>
      <c r="V19" s="37">
        <f>'Clean Data'!U19/'Clean Data'!T19</f>
        <v>0.42105263157894735</v>
      </c>
      <c r="W19" s="20">
        <v>1.42</v>
      </c>
      <c r="X19" s="20">
        <v>-4</v>
      </c>
      <c r="Y19" s="20">
        <v>-11</v>
      </c>
      <c r="Z19" s="21">
        <f t="shared" ref="Z19" si="3">X19-Y19</f>
        <v>7</v>
      </c>
    </row>
    <row r="20" spans="2:26" ht="16" customHeight="1" x14ac:dyDescent="0.2">
      <c r="E20" s="7"/>
      <c r="F20" s="7"/>
      <c r="G20" s="7"/>
      <c r="H20" s="7"/>
      <c r="I20" s="7"/>
      <c r="J20" s="15"/>
      <c r="N20" s="29"/>
    </row>
    <row r="21" spans="2:26" ht="16" customHeight="1" x14ac:dyDescent="0.2">
      <c r="E21" s="7"/>
      <c r="F21" s="7"/>
      <c r="G21" s="7"/>
      <c r="H21" s="7"/>
      <c r="I21" s="7"/>
      <c r="J21" s="15"/>
      <c r="N21" s="29"/>
    </row>
    <row r="22" spans="2:26" ht="16" customHeight="1" x14ac:dyDescent="0.2">
      <c r="B22" s="29" t="s">
        <v>54</v>
      </c>
      <c r="E22" s="7"/>
      <c r="F22" s="7"/>
      <c r="G22" s="7"/>
      <c r="H22" s="7"/>
      <c r="I22" s="7"/>
      <c r="J22" s="15"/>
      <c r="N22" s="29"/>
    </row>
    <row r="23" spans="2:26" ht="16" customHeight="1" x14ac:dyDescent="0.2">
      <c r="E23" s="7"/>
      <c r="F23" s="7"/>
      <c r="G23" s="7"/>
      <c r="H23" s="7"/>
      <c r="I23" s="7"/>
      <c r="J23" s="15"/>
    </row>
    <row r="24" spans="2:26" x14ac:dyDescent="0.2">
      <c r="B24" s="166" t="s">
        <v>38</v>
      </c>
      <c r="C24" s="16" t="s">
        <v>21</v>
      </c>
      <c r="D24" s="38" t="s">
        <v>37</v>
      </c>
      <c r="E24" s="38" t="s">
        <v>22</v>
      </c>
      <c r="F24" s="38" t="s">
        <v>23</v>
      </c>
      <c r="G24" s="38" t="s">
        <v>51</v>
      </c>
      <c r="H24" s="38" t="s">
        <v>30</v>
      </c>
      <c r="I24" s="38" t="s">
        <v>49</v>
      </c>
      <c r="J24" s="38" t="s">
        <v>50</v>
      </c>
      <c r="K24" s="39" t="s">
        <v>52</v>
      </c>
      <c r="M24" s="7"/>
      <c r="N24" s="29"/>
      <c r="O24" s="29"/>
      <c r="P24" s="29"/>
    </row>
    <row r="25" spans="2:26" x14ac:dyDescent="0.2">
      <c r="B25" s="166"/>
      <c r="C25" s="24" t="s">
        <v>4</v>
      </c>
      <c r="D25" s="10">
        <v>59899</v>
      </c>
      <c r="E25" s="11">
        <v>19</v>
      </c>
      <c r="F25" s="11">
        <v>14</v>
      </c>
      <c r="G25" s="26">
        <f>'Clean Data'!F25/'Clean Data'!E25</f>
        <v>0.73684210526315785</v>
      </c>
      <c r="H25" s="11">
        <v>2.37</v>
      </c>
      <c r="I25" s="11">
        <v>26</v>
      </c>
      <c r="J25" s="11">
        <v>-4</v>
      </c>
      <c r="K25" s="33">
        <f t="shared" ref="K25:K44" si="4">I25-J25</f>
        <v>30</v>
      </c>
      <c r="N25" s="32"/>
      <c r="O25" s="32"/>
      <c r="P25" s="32"/>
    </row>
    <row r="26" spans="2:26" x14ac:dyDescent="0.2">
      <c r="B26" s="166"/>
      <c r="C26" s="24" t="s">
        <v>13</v>
      </c>
      <c r="D26" s="10">
        <v>10532</v>
      </c>
      <c r="E26" s="11">
        <v>19</v>
      </c>
      <c r="F26" s="11">
        <v>8</v>
      </c>
      <c r="G26" s="26">
        <f>'Clean Data'!F26/'Clean Data'!E26</f>
        <v>0.42105263157894735</v>
      </c>
      <c r="H26" s="11">
        <v>1.53</v>
      </c>
      <c r="I26" s="11">
        <v>5</v>
      </c>
      <c r="J26" s="11">
        <v>-19</v>
      </c>
      <c r="K26" s="33">
        <f t="shared" si="4"/>
        <v>24</v>
      </c>
      <c r="N26" s="32"/>
      <c r="O26" s="32"/>
      <c r="P26" s="32"/>
    </row>
    <row r="27" spans="2:26" x14ac:dyDescent="0.2">
      <c r="B27" s="166"/>
      <c r="C27" s="24" t="s">
        <v>16</v>
      </c>
      <c r="D27" s="10">
        <v>30426</v>
      </c>
      <c r="E27" s="11">
        <v>19</v>
      </c>
      <c r="F27" s="11">
        <v>6</v>
      </c>
      <c r="G27" s="26">
        <f>'Clean Data'!F27/'Clean Data'!E27</f>
        <v>0.31578947368421051</v>
      </c>
      <c r="H27" s="11">
        <v>1.21</v>
      </c>
      <c r="I27" s="11">
        <v>-9</v>
      </c>
      <c r="J27" s="11">
        <v>-16</v>
      </c>
      <c r="K27" s="33">
        <f t="shared" si="4"/>
        <v>7</v>
      </c>
      <c r="N27" s="32"/>
      <c r="O27" s="32"/>
      <c r="P27" s="32"/>
    </row>
    <row r="28" spans="2:26" x14ac:dyDescent="0.2">
      <c r="B28" s="166"/>
      <c r="C28" s="24" t="s">
        <v>14</v>
      </c>
      <c r="D28" s="10">
        <v>20534</v>
      </c>
      <c r="E28" s="11">
        <v>19</v>
      </c>
      <c r="F28" s="11">
        <v>7</v>
      </c>
      <c r="G28" s="26">
        <f>'Clean Data'!F28/'Clean Data'!E28</f>
        <v>0.36842105263157893</v>
      </c>
      <c r="H28" s="11">
        <v>1.21</v>
      </c>
      <c r="I28" s="11">
        <v>-8</v>
      </c>
      <c r="J28" s="11">
        <v>-15</v>
      </c>
      <c r="K28" s="33">
        <f t="shared" si="4"/>
        <v>7</v>
      </c>
      <c r="N28" s="32"/>
      <c r="O28" s="32"/>
      <c r="P28" s="32"/>
    </row>
    <row r="29" spans="2:26" x14ac:dyDescent="0.2">
      <c r="B29" s="166"/>
      <c r="C29" s="24" t="s">
        <v>17</v>
      </c>
      <c r="D29" s="10">
        <v>31408</v>
      </c>
      <c r="E29" s="11">
        <v>19</v>
      </c>
      <c r="F29" s="11">
        <v>6</v>
      </c>
      <c r="G29" s="26">
        <f>'Clean Data'!F29/'Clean Data'!E29</f>
        <v>0.31578947368421051</v>
      </c>
      <c r="H29" s="11">
        <v>1.05</v>
      </c>
      <c r="I29" s="11">
        <v>-17</v>
      </c>
      <c r="J29" s="11">
        <v>-18</v>
      </c>
      <c r="K29" s="33">
        <f t="shared" si="4"/>
        <v>1</v>
      </c>
      <c r="N29" s="32"/>
      <c r="O29" s="32"/>
      <c r="P29" s="32"/>
    </row>
    <row r="30" spans="2:26" x14ac:dyDescent="0.2">
      <c r="B30" s="166"/>
      <c r="C30" s="24" t="s">
        <v>2</v>
      </c>
      <c r="D30" s="10">
        <v>40437</v>
      </c>
      <c r="E30" s="11">
        <v>19</v>
      </c>
      <c r="F30" s="11">
        <v>12</v>
      </c>
      <c r="G30" s="26">
        <f>'Clean Data'!F30/'Clean Data'!E30</f>
        <v>0.63157894736842102</v>
      </c>
      <c r="H30" s="11">
        <v>2.21</v>
      </c>
      <c r="I30" s="11">
        <v>27</v>
      </c>
      <c r="J30" s="11">
        <v>-3</v>
      </c>
      <c r="K30" s="33">
        <f t="shared" si="4"/>
        <v>30</v>
      </c>
      <c r="N30" s="32"/>
      <c r="O30" s="32"/>
      <c r="P30" s="32"/>
    </row>
    <row r="31" spans="2:26" x14ac:dyDescent="0.2">
      <c r="B31" s="166"/>
      <c r="C31" s="24" t="s">
        <v>11</v>
      </c>
      <c r="D31" s="10">
        <v>25455</v>
      </c>
      <c r="E31" s="11">
        <v>19</v>
      </c>
      <c r="F31" s="11">
        <v>5</v>
      </c>
      <c r="G31" s="26">
        <f>'Clean Data'!F31/'Clean Data'!E31</f>
        <v>0.26315789473684209</v>
      </c>
      <c r="H31" s="11">
        <v>1.05</v>
      </c>
      <c r="I31" s="11">
        <v>-4</v>
      </c>
      <c r="J31" s="11">
        <v>2</v>
      </c>
      <c r="K31" s="33">
        <f t="shared" si="4"/>
        <v>-6</v>
      </c>
      <c r="N31" s="32"/>
      <c r="O31" s="32"/>
      <c r="P31" s="32"/>
    </row>
    <row r="32" spans="2:26" x14ac:dyDescent="0.2">
      <c r="B32" s="166"/>
      <c r="C32" s="24" t="s">
        <v>7</v>
      </c>
      <c r="D32" s="10">
        <v>39043</v>
      </c>
      <c r="E32" s="11">
        <v>19</v>
      </c>
      <c r="F32" s="11">
        <v>10</v>
      </c>
      <c r="G32" s="26">
        <f>'Clean Data'!F32/'Clean Data'!E32</f>
        <v>0.52631578947368418</v>
      </c>
      <c r="H32" s="11">
        <v>1.79</v>
      </c>
      <c r="I32" s="11">
        <v>9</v>
      </c>
      <c r="J32" s="11">
        <v>-1</v>
      </c>
      <c r="K32" s="33">
        <f t="shared" si="4"/>
        <v>10</v>
      </c>
      <c r="N32" s="32"/>
      <c r="O32" s="32"/>
      <c r="P32" s="32"/>
    </row>
    <row r="33" spans="2:16" x14ac:dyDescent="0.2">
      <c r="B33" s="166"/>
      <c r="C33" s="24" t="s">
        <v>18</v>
      </c>
      <c r="D33" s="10">
        <v>24371</v>
      </c>
      <c r="E33" s="11">
        <v>19</v>
      </c>
      <c r="F33" s="11">
        <v>6</v>
      </c>
      <c r="G33" s="26">
        <f>'Clean Data'!F33/'Clean Data'!E33</f>
        <v>0.31578947368421051</v>
      </c>
      <c r="H33" s="11">
        <v>1.1100000000000001</v>
      </c>
      <c r="I33" s="11">
        <v>-14</v>
      </c>
      <c r="J33" s="11">
        <v>-33</v>
      </c>
      <c r="K33" s="33">
        <f t="shared" si="4"/>
        <v>19</v>
      </c>
      <c r="N33" s="32"/>
      <c r="O33" s="32"/>
      <c r="P33" s="32"/>
    </row>
    <row r="34" spans="2:16" x14ac:dyDescent="0.2">
      <c r="B34" s="166"/>
      <c r="C34" s="24" t="s">
        <v>19</v>
      </c>
      <c r="D34" s="10">
        <v>23203</v>
      </c>
      <c r="E34" s="11">
        <v>19</v>
      </c>
      <c r="F34" s="11">
        <v>2</v>
      </c>
      <c r="G34" s="26">
        <f>'Clean Data'!F34/'Clean Data'!E34</f>
        <v>0.10526315789473684</v>
      </c>
      <c r="H34" s="11">
        <v>0.47</v>
      </c>
      <c r="I34" s="11">
        <v>-21</v>
      </c>
      <c r="J34" s="11">
        <v>-33</v>
      </c>
      <c r="K34" s="33">
        <f t="shared" si="4"/>
        <v>12</v>
      </c>
      <c r="N34" s="32"/>
      <c r="O34" s="32"/>
      <c r="P34" s="32"/>
    </row>
    <row r="35" spans="2:16" x14ac:dyDescent="0.2">
      <c r="B35" s="166"/>
      <c r="C35" s="24" t="s">
        <v>8</v>
      </c>
      <c r="D35" s="10">
        <v>31851</v>
      </c>
      <c r="E35" s="11">
        <v>19</v>
      </c>
      <c r="F35" s="11">
        <v>8</v>
      </c>
      <c r="G35" s="26">
        <f>'Clean Data'!F35/'Clean Data'!E35</f>
        <v>0.42105263157894735</v>
      </c>
      <c r="H35" s="11">
        <v>1.42</v>
      </c>
      <c r="I35" s="11">
        <v>4</v>
      </c>
      <c r="J35" s="11">
        <v>-1</v>
      </c>
      <c r="K35" s="33">
        <f t="shared" si="4"/>
        <v>5</v>
      </c>
      <c r="N35" s="32"/>
      <c r="O35" s="32"/>
      <c r="P35" s="32"/>
    </row>
    <row r="36" spans="2:16" x14ac:dyDescent="0.2">
      <c r="B36" s="166"/>
      <c r="C36" s="24" t="s">
        <v>1</v>
      </c>
      <c r="D36" s="10">
        <v>52983</v>
      </c>
      <c r="E36" s="11">
        <v>19</v>
      </c>
      <c r="F36" s="11">
        <v>17</v>
      </c>
      <c r="G36" s="26">
        <f>'Clean Data'!F36/'Clean Data'!E36</f>
        <v>0.89473684210526316</v>
      </c>
      <c r="H36" s="11">
        <v>2.79</v>
      </c>
      <c r="I36" s="11">
        <v>45</v>
      </c>
      <c r="J36" s="11">
        <v>22</v>
      </c>
      <c r="K36" s="33">
        <f t="shared" si="4"/>
        <v>23</v>
      </c>
      <c r="N36" s="32"/>
      <c r="O36" s="32"/>
      <c r="P36" s="32"/>
    </row>
    <row r="37" spans="2:16" x14ac:dyDescent="0.2">
      <c r="B37" s="166"/>
      <c r="C37" s="24" t="s">
        <v>0</v>
      </c>
      <c r="D37" s="10">
        <v>54130</v>
      </c>
      <c r="E37" s="11">
        <v>19</v>
      </c>
      <c r="F37" s="11">
        <v>18</v>
      </c>
      <c r="G37" s="26">
        <f>'Clean Data'!F37/'Clean Data'!E37</f>
        <v>0.94736842105263153</v>
      </c>
      <c r="H37" s="11">
        <v>2.84</v>
      </c>
      <c r="I37" s="11">
        <v>45</v>
      </c>
      <c r="J37" s="11">
        <v>27</v>
      </c>
      <c r="K37" s="33">
        <f t="shared" si="4"/>
        <v>18</v>
      </c>
      <c r="N37" s="32"/>
      <c r="O37" s="32"/>
      <c r="P37" s="32"/>
    </row>
    <row r="38" spans="2:16" x14ac:dyDescent="0.2">
      <c r="B38" s="166"/>
      <c r="C38" s="24" t="s">
        <v>5</v>
      </c>
      <c r="D38" s="10">
        <v>74498</v>
      </c>
      <c r="E38" s="11">
        <v>19</v>
      </c>
      <c r="F38" s="11">
        <v>10</v>
      </c>
      <c r="G38" s="26">
        <f>'Clean Data'!F38/'Clean Data'!E38</f>
        <v>0.52631578947368418</v>
      </c>
      <c r="H38" s="11">
        <v>1.89</v>
      </c>
      <c r="I38" s="11">
        <v>8</v>
      </c>
      <c r="J38" s="11">
        <v>3</v>
      </c>
      <c r="K38" s="33">
        <f t="shared" si="4"/>
        <v>5</v>
      </c>
      <c r="N38" s="32"/>
      <c r="O38" s="32"/>
      <c r="P38" s="32"/>
    </row>
    <row r="39" spans="2:16" x14ac:dyDescent="0.2">
      <c r="B39" s="166"/>
      <c r="C39" s="24" t="s">
        <v>12</v>
      </c>
      <c r="D39" s="10">
        <v>51121</v>
      </c>
      <c r="E39" s="11">
        <v>19</v>
      </c>
      <c r="F39" s="11">
        <v>8</v>
      </c>
      <c r="G39" s="26">
        <f>'Clean Data'!F39/'Clean Data'!E39</f>
        <v>0.42105263157894735</v>
      </c>
      <c r="H39" s="11">
        <v>1.32</v>
      </c>
      <c r="I39" s="11">
        <v>-1</v>
      </c>
      <c r="J39" s="11">
        <v>-5</v>
      </c>
      <c r="K39" s="33">
        <f t="shared" si="4"/>
        <v>4</v>
      </c>
    </row>
    <row r="40" spans="2:16" x14ac:dyDescent="0.2">
      <c r="B40" s="166"/>
      <c r="C40" s="24" t="s">
        <v>15</v>
      </c>
      <c r="D40" s="10">
        <v>30139</v>
      </c>
      <c r="E40" s="11">
        <v>19</v>
      </c>
      <c r="F40" s="11">
        <v>5</v>
      </c>
      <c r="G40" s="26">
        <f>'Clean Data'!F40/'Clean Data'!E40</f>
        <v>0.26315789473684209</v>
      </c>
      <c r="H40" s="11">
        <v>1.21</v>
      </c>
      <c r="I40" s="11">
        <v>-3</v>
      </c>
      <c r="J40" s="11">
        <v>-17</v>
      </c>
      <c r="K40" s="33">
        <f t="shared" si="4"/>
        <v>14</v>
      </c>
    </row>
    <row r="41" spans="2:16" x14ac:dyDescent="0.2">
      <c r="B41" s="166"/>
      <c r="C41" s="24" t="s">
        <v>3</v>
      </c>
      <c r="D41" s="10">
        <v>54216</v>
      </c>
      <c r="E41" s="11">
        <v>19</v>
      </c>
      <c r="F41" s="11">
        <v>12</v>
      </c>
      <c r="G41" s="26">
        <f>'Clean Data'!F41/'Clean Data'!E41</f>
        <v>0.63157894736842102</v>
      </c>
      <c r="H41" s="11">
        <v>2</v>
      </c>
      <c r="I41" s="11">
        <v>18</v>
      </c>
      <c r="J41" s="11">
        <v>10</v>
      </c>
      <c r="K41" s="33">
        <f t="shared" si="4"/>
        <v>8</v>
      </c>
    </row>
    <row r="42" spans="2:16" x14ac:dyDescent="0.2">
      <c r="B42" s="166"/>
      <c r="C42" s="24" t="s">
        <v>10</v>
      </c>
      <c r="D42" s="10">
        <v>20016</v>
      </c>
      <c r="E42" s="11">
        <v>19</v>
      </c>
      <c r="F42" s="11">
        <v>8</v>
      </c>
      <c r="G42" s="26">
        <f>'Clean Data'!F42/'Clean Data'!E42</f>
        <v>0.42105263157894735</v>
      </c>
      <c r="H42" s="11">
        <v>1.42</v>
      </c>
      <c r="I42" s="11">
        <v>-2</v>
      </c>
      <c r="J42" s="11">
        <v>-5</v>
      </c>
      <c r="K42" s="33">
        <f t="shared" si="4"/>
        <v>3</v>
      </c>
    </row>
    <row r="43" spans="2:16" x14ac:dyDescent="0.2">
      <c r="B43" s="166"/>
      <c r="C43" s="24" t="s">
        <v>9</v>
      </c>
      <c r="D43" s="10">
        <v>58336</v>
      </c>
      <c r="E43" s="11">
        <v>19</v>
      </c>
      <c r="F43" s="11">
        <v>9</v>
      </c>
      <c r="G43" s="26">
        <f>'Clean Data'!F43/'Clean Data'!E43</f>
        <v>0.47368421052631576</v>
      </c>
      <c r="H43" s="11">
        <v>1.63</v>
      </c>
      <c r="I43" s="11">
        <v>5</v>
      </c>
      <c r="J43" s="11">
        <v>-8</v>
      </c>
      <c r="K43" s="33">
        <f t="shared" si="4"/>
        <v>13</v>
      </c>
    </row>
    <row r="44" spans="2:16" x14ac:dyDescent="0.2">
      <c r="B44" s="166"/>
      <c r="C44" s="28" t="s">
        <v>6</v>
      </c>
      <c r="D44" s="12">
        <v>31030</v>
      </c>
      <c r="E44" s="13">
        <v>19</v>
      </c>
      <c r="F44" s="13">
        <v>10</v>
      </c>
      <c r="G44" s="40">
        <f>'Clean Data'!F44/'Clean Data'!E44</f>
        <v>0.52631578947368418</v>
      </c>
      <c r="H44" s="13">
        <v>1.79</v>
      </c>
      <c r="I44" s="13">
        <v>7</v>
      </c>
      <c r="J44" s="13">
        <v>-6</v>
      </c>
      <c r="K44" s="34">
        <f t="shared" si="4"/>
        <v>13</v>
      </c>
    </row>
    <row r="46" spans="2:16" x14ac:dyDescent="0.2">
      <c r="B46" s="160" t="s">
        <v>42</v>
      </c>
      <c r="C46" s="16" t="s">
        <v>21</v>
      </c>
      <c r="D46" s="38" t="s">
        <v>37</v>
      </c>
      <c r="E46" s="38" t="s">
        <v>22</v>
      </c>
      <c r="F46" s="38" t="s">
        <v>23</v>
      </c>
      <c r="G46" s="38" t="s">
        <v>51</v>
      </c>
      <c r="H46" s="38" t="s">
        <v>30</v>
      </c>
      <c r="I46" s="38" t="s">
        <v>49</v>
      </c>
      <c r="J46" s="38" t="s">
        <v>50</v>
      </c>
      <c r="K46" s="39" t="s">
        <v>52</v>
      </c>
    </row>
    <row r="47" spans="2:16" x14ac:dyDescent="0.2">
      <c r="B47" s="160"/>
      <c r="C47" s="24" t="s">
        <v>4</v>
      </c>
      <c r="D47" s="11">
        <v>632</v>
      </c>
      <c r="E47" s="11">
        <v>19</v>
      </c>
      <c r="F47" s="11">
        <v>8</v>
      </c>
      <c r="G47" s="26">
        <f>'Clean Data'!F47/'Clean Data'!E47</f>
        <v>0.42105263157894735</v>
      </c>
      <c r="H47" s="11">
        <v>1.47</v>
      </c>
      <c r="I47" s="11">
        <v>3</v>
      </c>
      <c r="J47" s="11">
        <v>13</v>
      </c>
      <c r="K47" s="33">
        <f t="shared" ref="K47:K66" si="5">I47-J47</f>
        <v>-10</v>
      </c>
    </row>
    <row r="48" spans="2:16" x14ac:dyDescent="0.2">
      <c r="B48" s="160"/>
      <c r="C48" s="24" t="s">
        <v>40</v>
      </c>
      <c r="D48" s="11">
        <v>526</v>
      </c>
      <c r="E48" s="11">
        <v>19</v>
      </c>
      <c r="F48" s="11">
        <v>7</v>
      </c>
      <c r="G48" s="26">
        <f>'Clean Data'!F48/'Clean Data'!E48</f>
        <v>0.36842105263157893</v>
      </c>
      <c r="H48" s="11">
        <v>1.32</v>
      </c>
      <c r="I48" s="11">
        <v>2</v>
      </c>
      <c r="J48" s="11">
        <v>7</v>
      </c>
      <c r="K48" s="33">
        <f t="shared" si="5"/>
        <v>-5</v>
      </c>
    </row>
    <row r="49" spans="2:11" x14ac:dyDescent="0.2">
      <c r="B49" s="160"/>
      <c r="C49" s="24" t="s">
        <v>16</v>
      </c>
      <c r="D49" s="11">
        <v>523</v>
      </c>
      <c r="E49" s="11">
        <v>19</v>
      </c>
      <c r="F49" s="11">
        <v>4</v>
      </c>
      <c r="G49" s="26">
        <f>'Clean Data'!F49/'Clean Data'!E49</f>
        <v>0.21052631578947367</v>
      </c>
      <c r="H49" s="11">
        <v>1.1100000000000001</v>
      </c>
      <c r="I49" s="11">
        <v>0</v>
      </c>
      <c r="J49" s="11">
        <v>-6</v>
      </c>
      <c r="K49" s="33">
        <f t="shared" si="5"/>
        <v>6</v>
      </c>
    </row>
    <row r="50" spans="2:11" x14ac:dyDescent="0.2">
      <c r="B50" s="160"/>
      <c r="C50" s="24" t="s">
        <v>14</v>
      </c>
      <c r="D50" s="11">
        <v>178</v>
      </c>
      <c r="E50" s="11">
        <v>19</v>
      </c>
      <c r="F50" s="11">
        <v>4</v>
      </c>
      <c r="G50" s="26">
        <f>'Clean Data'!F50/'Clean Data'!E50</f>
        <v>0.21052631578947367</v>
      </c>
      <c r="H50" s="11">
        <v>0.95</v>
      </c>
      <c r="I50" s="11">
        <v>-13</v>
      </c>
      <c r="J50" s="11">
        <v>-9</v>
      </c>
      <c r="K50" s="33">
        <f t="shared" si="5"/>
        <v>-4</v>
      </c>
    </row>
    <row r="51" spans="2:11" x14ac:dyDescent="0.2">
      <c r="B51" s="160"/>
      <c r="C51" s="24" t="s">
        <v>2</v>
      </c>
      <c r="D51" s="11">
        <v>526</v>
      </c>
      <c r="E51" s="11">
        <v>19</v>
      </c>
      <c r="F51" s="11">
        <v>9</v>
      </c>
      <c r="G51" s="26">
        <f>'Clean Data'!F51/'Clean Data'!E51</f>
        <v>0.47368421052631576</v>
      </c>
      <c r="H51" s="11">
        <v>1.74</v>
      </c>
      <c r="I51" s="11">
        <v>13</v>
      </c>
      <c r="J51" s="11">
        <v>9</v>
      </c>
      <c r="K51" s="33">
        <f t="shared" si="5"/>
        <v>4</v>
      </c>
    </row>
    <row r="52" spans="2:11" x14ac:dyDescent="0.2">
      <c r="B52" s="160"/>
      <c r="C52" s="24" t="s">
        <v>11</v>
      </c>
      <c r="D52" s="11">
        <v>447</v>
      </c>
      <c r="E52" s="11">
        <v>19</v>
      </c>
      <c r="F52" s="11">
        <v>6</v>
      </c>
      <c r="G52" s="26">
        <f>'Clean Data'!F52/'Clean Data'!E52</f>
        <v>0.31578947368421051</v>
      </c>
      <c r="H52" s="11">
        <v>1.21</v>
      </c>
      <c r="I52" s="11">
        <v>-12</v>
      </c>
      <c r="J52" s="11">
        <v>-13</v>
      </c>
      <c r="K52" s="33">
        <f t="shared" si="5"/>
        <v>1</v>
      </c>
    </row>
    <row r="53" spans="2:11" x14ac:dyDescent="0.2">
      <c r="B53" s="160"/>
      <c r="C53" s="24" t="s">
        <v>7</v>
      </c>
      <c r="D53" s="11">
        <v>368</v>
      </c>
      <c r="E53" s="11">
        <v>19</v>
      </c>
      <c r="F53" s="11">
        <v>6</v>
      </c>
      <c r="G53" s="26">
        <f>'Clean Data'!F53/'Clean Data'!E53</f>
        <v>0.31578947368421051</v>
      </c>
      <c r="H53" s="11">
        <v>1.1599999999999999</v>
      </c>
      <c r="I53" s="11">
        <v>-4</v>
      </c>
      <c r="J53" s="11">
        <v>3</v>
      </c>
      <c r="K53" s="33">
        <f t="shared" si="5"/>
        <v>-7</v>
      </c>
    </row>
    <row r="54" spans="2:11" x14ac:dyDescent="0.2">
      <c r="B54" s="160"/>
      <c r="C54" s="24" t="s">
        <v>18</v>
      </c>
      <c r="D54" s="11">
        <v>211</v>
      </c>
      <c r="E54" s="11">
        <v>19</v>
      </c>
      <c r="F54" s="11">
        <v>2</v>
      </c>
      <c r="G54" s="26">
        <f>'Clean Data'!F54/'Clean Data'!E54</f>
        <v>0.10526315789473684</v>
      </c>
      <c r="H54" s="11">
        <v>0.53</v>
      </c>
      <c r="I54" s="11">
        <v>-19</v>
      </c>
      <c r="J54" s="11">
        <v>-7</v>
      </c>
      <c r="K54" s="33">
        <f t="shared" si="5"/>
        <v>-12</v>
      </c>
    </row>
    <row r="55" spans="2:11" x14ac:dyDescent="0.2">
      <c r="B55" s="160"/>
      <c r="C55" s="24" t="s">
        <v>43</v>
      </c>
      <c r="D55" s="11">
        <v>421</v>
      </c>
      <c r="E55" s="11">
        <v>19</v>
      </c>
      <c r="F55" s="11">
        <v>8</v>
      </c>
      <c r="G55" s="26">
        <f>'Clean Data'!F55/'Clean Data'!E55</f>
        <v>0.42105263157894735</v>
      </c>
      <c r="H55" s="11">
        <v>1.53</v>
      </c>
      <c r="I55" s="11">
        <v>7</v>
      </c>
      <c r="J55" s="11">
        <v>1</v>
      </c>
      <c r="K55" s="33">
        <f t="shared" si="5"/>
        <v>6</v>
      </c>
    </row>
    <row r="56" spans="2:11" x14ac:dyDescent="0.2">
      <c r="B56" s="160"/>
      <c r="C56" s="24" t="s">
        <v>8</v>
      </c>
      <c r="D56" s="11">
        <v>421</v>
      </c>
      <c r="E56" s="11">
        <v>19</v>
      </c>
      <c r="F56" s="11">
        <v>9</v>
      </c>
      <c r="G56" s="26">
        <f>'Clean Data'!F56/'Clean Data'!E56</f>
        <v>0.47368421052631576</v>
      </c>
      <c r="H56" s="11">
        <v>1.47</v>
      </c>
      <c r="I56" s="11">
        <v>4</v>
      </c>
      <c r="J56" s="11">
        <v>14</v>
      </c>
      <c r="K56" s="33">
        <f t="shared" si="5"/>
        <v>-10</v>
      </c>
    </row>
    <row r="57" spans="2:11" x14ac:dyDescent="0.2">
      <c r="B57" s="160"/>
      <c r="C57" s="24" t="s">
        <v>1</v>
      </c>
      <c r="D57" s="11">
        <v>837</v>
      </c>
      <c r="E57" s="11">
        <v>19</v>
      </c>
      <c r="F57" s="11">
        <v>10</v>
      </c>
      <c r="G57" s="26">
        <f>'Clean Data'!F57/'Clean Data'!E57</f>
        <v>0.52631578947368418</v>
      </c>
      <c r="H57" s="11">
        <v>1.74</v>
      </c>
      <c r="I57" s="11">
        <v>9</v>
      </c>
      <c r="J57" s="11">
        <v>17</v>
      </c>
      <c r="K57" s="33">
        <f t="shared" si="5"/>
        <v>-8</v>
      </c>
    </row>
    <row r="58" spans="2:11" x14ac:dyDescent="0.2">
      <c r="B58" s="160"/>
      <c r="C58" s="24" t="s">
        <v>0</v>
      </c>
      <c r="D58" s="11">
        <v>526</v>
      </c>
      <c r="E58" s="11">
        <v>19</v>
      </c>
      <c r="F58" s="11">
        <v>13</v>
      </c>
      <c r="G58" s="26">
        <f>'Clean Data'!F58/'Clean Data'!E58</f>
        <v>0.68421052631578949</v>
      </c>
      <c r="H58" s="11">
        <v>2.16</v>
      </c>
      <c r="I58" s="11">
        <v>26</v>
      </c>
      <c r="J58" s="11">
        <v>25</v>
      </c>
      <c r="K58" s="33">
        <f t="shared" si="5"/>
        <v>1</v>
      </c>
    </row>
    <row r="59" spans="2:11" x14ac:dyDescent="0.2">
      <c r="B59" s="160"/>
      <c r="C59" s="24" t="s">
        <v>5</v>
      </c>
      <c r="D59" s="11">
        <v>526</v>
      </c>
      <c r="E59" s="11">
        <v>19</v>
      </c>
      <c r="F59" s="11">
        <v>9</v>
      </c>
      <c r="G59" s="26">
        <f>'Clean Data'!F59/'Clean Data'!E59</f>
        <v>0.47368421052631576</v>
      </c>
      <c r="H59" s="11">
        <v>1.63</v>
      </c>
      <c r="I59" s="11">
        <v>10</v>
      </c>
      <c r="J59" s="11">
        <v>19</v>
      </c>
      <c r="K59" s="33">
        <f t="shared" si="5"/>
        <v>-9</v>
      </c>
    </row>
    <row r="60" spans="2:11" x14ac:dyDescent="0.2">
      <c r="B60" s="160"/>
      <c r="C60" s="24" t="s">
        <v>12</v>
      </c>
      <c r="D60" s="11">
        <v>526</v>
      </c>
      <c r="E60" s="11">
        <v>19</v>
      </c>
      <c r="F60" s="11">
        <v>6</v>
      </c>
      <c r="G60" s="26">
        <f>'Clean Data'!F60/'Clean Data'!E60</f>
        <v>0.31578947368421051</v>
      </c>
      <c r="H60" s="11">
        <v>1.21</v>
      </c>
      <c r="I60" s="11">
        <v>-7</v>
      </c>
      <c r="J60" s="11">
        <v>-9</v>
      </c>
      <c r="K60" s="33">
        <f t="shared" si="5"/>
        <v>2</v>
      </c>
    </row>
    <row r="61" spans="2:11" x14ac:dyDescent="0.2">
      <c r="B61" s="160"/>
      <c r="C61" s="24" t="s">
        <v>41</v>
      </c>
      <c r="D61" s="11">
        <v>263</v>
      </c>
      <c r="E61" s="11">
        <v>19</v>
      </c>
      <c r="F61" s="11">
        <v>5</v>
      </c>
      <c r="G61" s="26">
        <f>'Clean Data'!F61/'Clean Data'!E61</f>
        <v>0.26315789473684209</v>
      </c>
      <c r="H61" s="11">
        <v>0.84</v>
      </c>
      <c r="I61" s="11">
        <v>-15</v>
      </c>
      <c r="J61" s="11">
        <v>-28</v>
      </c>
      <c r="K61" s="33">
        <f t="shared" si="5"/>
        <v>13</v>
      </c>
    </row>
    <row r="62" spans="2:11" x14ac:dyDescent="0.2">
      <c r="B62" s="160"/>
      <c r="C62" s="24" t="s">
        <v>15</v>
      </c>
      <c r="D62" s="11">
        <v>526</v>
      </c>
      <c r="E62" s="11">
        <v>19</v>
      </c>
      <c r="F62" s="11">
        <v>8</v>
      </c>
      <c r="G62" s="26">
        <f>'Clean Data'!F62/'Clean Data'!E62</f>
        <v>0.42105263157894735</v>
      </c>
      <c r="H62" s="11">
        <v>1.42</v>
      </c>
      <c r="I62" s="11">
        <v>3</v>
      </c>
      <c r="J62" s="11">
        <v>-24</v>
      </c>
      <c r="K62" s="33">
        <f t="shared" si="5"/>
        <v>27</v>
      </c>
    </row>
    <row r="63" spans="2:11" x14ac:dyDescent="0.2">
      <c r="B63" s="160"/>
      <c r="C63" s="24" t="s">
        <v>3</v>
      </c>
      <c r="D63" s="11">
        <v>632</v>
      </c>
      <c r="E63" s="11">
        <v>19</v>
      </c>
      <c r="F63" s="11">
        <v>10</v>
      </c>
      <c r="G63" s="26">
        <f>'Clean Data'!F63/'Clean Data'!E63</f>
        <v>0.52631578947368418</v>
      </c>
      <c r="H63" s="11">
        <v>1.74</v>
      </c>
      <c r="I63" s="11">
        <v>15</v>
      </c>
      <c r="J63" s="11">
        <v>8</v>
      </c>
      <c r="K63" s="33">
        <f t="shared" si="5"/>
        <v>7</v>
      </c>
    </row>
    <row r="64" spans="2:11" x14ac:dyDescent="0.2">
      <c r="B64" s="160"/>
      <c r="C64" s="24" t="s">
        <v>44</v>
      </c>
      <c r="D64" s="11">
        <v>283</v>
      </c>
      <c r="E64" s="11">
        <v>19</v>
      </c>
      <c r="F64" s="11">
        <v>3</v>
      </c>
      <c r="G64" s="26">
        <f>'Clean Data'!F64/'Clean Data'!E64</f>
        <v>0.15789473684210525</v>
      </c>
      <c r="H64" s="11">
        <v>0.79</v>
      </c>
      <c r="I64" s="11">
        <v>-24</v>
      </c>
      <c r="J64" s="11">
        <v>-17</v>
      </c>
      <c r="K64" s="33">
        <f t="shared" si="5"/>
        <v>-7</v>
      </c>
    </row>
    <row r="65" spans="2:11" x14ac:dyDescent="0.2">
      <c r="B65" s="160"/>
      <c r="C65" s="24" t="s">
        <v>9</v>
      </c>
      <c r="D65" s="11">
        <v>632</v>
      </c>
      <c r="E65" s="11">
        <v>19</v>
      </c>
      <c r="F65" s="11">
        <v>10</v>
      </c>
      <c r="G65" s="26">
        <f>'Clean Data'!F65/'Clean Data'!E65</f>
        <v>0.52631578947368418</v>
      </c>
      <c r="H65" s="11">
        <v>1.79</v>
      </c>
      <c r="I65" s="11">
        <v>10</v>
      </c>
      <c r="J65" s="11">
        <v>5</v>
      </c>
      <c r="K65" s="33">
        <f t="shared" si="5"/>
        <v>5</v>
      </c>
    </row>
    <row r="66" spans="2:11" x14ac:dyDescent="0.2">
      <c r="B66" s="160"/>
      <c r="C66" s="28" t="s">
        <v>6</v>
      </c>
      <c r="D66" s="13">
        <v>237</v>
      </c>
      <c r="E66" s="13">
        <v>19</v>
      </c>
      <c r="F66" s="13">
        <v>7</v>
      </c>
      <c r="G66" s="40">
        <f>'Clean Data'!F66/'Clean Data'!E66</f>
        <v>0.36842105263157893</v>
      </c>
      <c r="H66" s="13">
        <v>1.32</v>
      </c>
      <c r="I66" s="13">
        <v>-4</v>
      </c>
      <c r="J66" s="13">
        <v>-12</v>
      </c>
      <c r="K66" s="34">
        <f t="shared" si="5"/>
        <v>8</v>
      </c>
    </row>
    <row r="68" spans="2:11" x14ac:dyDescent="0.2">
      <c r="B68" s="160" t="s">
        <v>46</v>
      </c>
      <c r="C68" s="16" t="s">
        <v>21</v>
      </c>
      <c r="D68" s="38" t="s">
        <v>37</v>
      </c>
      <c r="E68" s="38" t="s">
        <v>22</v>
      </c>
      <c r="F68" s="38" t="s">
        <v>23</v>
      </c>
      <c r="G68" s="38" t="s">
        <v>51</v>
      </c>
      <c r="H68" s="38" t="s">
        <v>30</v>
      </c>
      <c r="I68" s="38" t="s">
        <v>49</v>
      </c>
      <c r="J68" s="38" t="s">
        <v>50</v>
      </c>
      <c r="K68" s="39" t="s">
        <v>52</v>
      </c>
    </row>
    <row r="69" spans="2:11" x14ac:dyDescent="0.2">
      <c r="B69" s="160"/>
      <c r="C69" s="24" t="s">
        <v>4</v>
      </c>
      <c r="D69" s="10">
        <v>60236</v>
      </c>
      <c r="E69" s="11">
        <v>19</v>
      </c>
      <c r="F69" s="11">
        <v>15</v>
      </c>
      <c r="G69" s="26">
        <f>'Clean Data'!F69/'Clean Data'!E69</f>
        <v>0.78947368421052633</v>
      </c>
      <c r="H69" s="11">
        <v>2.4700000000000002</v>
      </c>
      <c r="I69" s="11">
        <v>32</v>
      </c>
      <c r="J69" s="11">
        <v>30</v>
      </c>
      <c r="K69" s="33">
        <f t="shared" ref="K69:K87" si="6">I69-J69</f>
        <v>2</v>
      </c>
    </row>
    <row r="70" spans="2:11" x14ac:dyDescent="0.2">
      <c r="B70" s="160"/>
      <c r="C70" s="24" t="s">
        <v>40</v>
      </c>
      <c r="D70" s="10">
        <v>41858</v>
      </c>
      <c r="E70" s="11">
        <v>19</v>
      </c>
      <c r="F70" s="11">
        <v>12</v>
      </c>
      <c r="G70" s="26">
        <f>'Clean Data'!F70/'Clean Data'!E70</f>
        <v>0.63157894736842102</v>
      </c>
      <c r="H70" s="11">
        <v>2.11</v>
      </c>
      <c r="I70" s="11">
        <v>20</v>
      </c>
      <c r="J70" s="11">
        <v>-5</v>
      </c>
      <c r="K70" s="33">
        <f t="shared" si="6"/>
        <v>25</v>
      </c>
    </row>
    <row r="71" spans="2:11" x14ac:dyDescent="0.2">
      <c r="B71" s="160"/>
      <c r="C71" s="24" t="s">
        <v>13</v>
      </c>
      <c r="D71" s="10">
        <v>11103</v>
      </c>
      <c r="E71" s="11">
        <v>19</v>
      </c>
      <c r="F71" s="11">
        <v>7</v>
      </c>
      <c r="G71" s="26">
        <f>'Clean Data'!F71/'Clean Data'!E71</f>
        <v>0.36842105263157893</v>
      </c>
      <c r="H71" s="11">
        <v>1.42</v>
      </c>
      <c r="I71" s="11">
        <v>-1</v>
      </c>
      <c r="J71" s="11">
        <v>-12</v>
      </c>
      <c r="K71" s="33">
        <f t="shared" si="6"/>
        <v>11</v>
      </c>
    </row>
    <row r="72" spans="2:11" x14ac:dyDescent="0.2">
      <c r="B72" s="160"/>
      <c r="C72" s="24" t="s">
        <v>45</v>
      </c>
      <c r="D72" s="10">
        <v>17082</v>
      </c>
      <c r="E72" s="11">
        <v>19</v>
      </c>
      <c r="F72" s="11">
        <v>5</v>
      </c>
      <c r="G72" s="26">
        <f>'Clean Data'!F72/'Clean Data'!E72</f>
        <v>0.26315789473684209</v>
      </c>
      <c r="H72" s="11">
        <v>1.1599999999999999</v>
      </c>
      <c r="I72" s="11">
        <v>-5</v>
      </c>
      <c r="J72" s="11">
        <v>-4</v>
      </c>
      <c r="K72" s="33">
        <f t="shared" si="6"/>
        <v>-1</v>
      </c>
    </row>
    <row r="73" spans="2:11" x14ac:dyDescent="0.2">
      <c r="B73" s="160"/>
      <c r="C73" s="24" t="s">
        <v>16</v>
      </c>
      <c r="D73" s="10">
        <v>32638</v>
      </c>
      <c r="E73" s="11">
        <v>19</v>
      </c>
      <c r="F73" s="11">
        <v>8</v>
      </c>
      <c r="G73" s="26">
        <f>'Clean Data'!F73/'Clean Data'!E73</f>
        <v>0.42105263157894735</v>
      </c>
      <c r="H73" s="11">
        <v>1.58</v>
      </c>
      <c r="I73" s="11">
        <v>3</v>
      </c>
      <c r="J73" s="11">
        <v>-10</v>
      </c>
      <c r="K73" s="33">
        <f t="shared" si="6"/>
        <v>13</v>
      </c>
    </row>
    <row r="74" spans="2:11" x14ac:dyDescent="0.2">
      <c r="B74" s="160"/>
      <c r="C74" s="24" t="s">
        <v>14</v>
      </c>
      <c r="D74" s="10">
        <v>21184</v>
      </c>
      <c r="E74" s="11">
        <v>19</v>
      </c>
      <c r="F74" s="11">
        <v>2</v>
      </c>
      <c r="G74" s="26">
        <f>'Clean Data'!F74/'Clean Data'!E74</f>
        <v>0.10526315789473684</v>
      </c>
      <c r="H74" s="11">
        <v>0.53</v>
      </c>
      <c r="I74" s="11">
        <v>-24</v>
      </c>
      <c r="J74" s="11">
        <v>-13</v>
      </c>
      <c r="K74" s="33">
        <f t="shared" si="6"/>
        <v>-11</v>
      </c>
    </row>
    <row r="75" spans="2:11" x14ac:dyDescent="0.2">
      <c r="B75" s="160"/>
      <c r="C75" s="24" t="s">
        <v>2</v>
      </c>
      <c r="D75" s="10">
        <v>39524</v>
      </c>
      <c r="E75" s="11">
        <v>19</v>
      </c>
      <c r="F75" s="11">
        <v>11</v>
      </c>
      <c r="G75" s="26">
        <f>'Clean Data'!F75/'Clean Data'!E75</f>
        <v>0.57894736842105265</v>
      </c>
      <c r="H75" s="11">
        <v>1.95</v>
      </c>
      <c r="I75" s="11">
        <v>18</v>
      </c>
      <c r="J75" s="11">
        <v>-4</v>
      </c>
      <c r="K75" s="33">
        <f t="shared" si="6"/>
        <v>22</v>
      </c>
    </row>
    <row r="76" spans="2:11" x14ac:dyDescent="0.2">
      <c r="B76" s="160"/>
      <c r="C76" s="24" t="s">
        <v>11</v>
      </c>
      <c r="D76" s="10">
        <v>24932</v>
      </c>
      <c r="E76" s="11">
        <v>19</v>
      </c>
      <c r="F76" s="11">
        <v>8</v>
      </c>
      <c r="G76" s="26">
        <f>'Clean Data'!F76/'Clean Data'!E76</f>
        <v>0.42105263157894735</v>
      </c>
      <c r="H76" s="11">
        <v>1.47</v>
      </c>
      <c r="I76" s="11">
        <v>11</v>
      </c>
      <c r="J76" s="11">
        <v>-12</v>
      </c>
      <c r="K76" s="33">
        <f t="shared" si="6"/>
        <v>23</v>
      </c>
    </row>
    <row r="77" spans="2:11" x14ac:dyDescent="0.2">
      <c r="B77" s="160"/>
      <c r="C77" s="24" t="s">
        <v>7</v>
      </c>
      <c r="D77" s="10">
        <v>39042</v>
      </c>
      <c r="E77" s="11">
        <v>19</v>
      </c>
      <c r="F77" s="11">
        <v>8</v>
      </c>
      <c r="G77" s="26">
        <f>'Clean Data'!F77/'Clean Data'!E77</f>
        <v>0.42105263157894735</v>
      </c>
      <c r="H77" s="11">
        <v>1.47</v>
      </c>
      <c r="I77" s="11">
        <v>4</v>
      </c>
      <c r="J77" s="11">
        <v>-15</v>
      </c>
      <c r="K77" s="33">
        <f t="shared" si="6"/>
        <v>19</v>
      </c>
    </row>
    <row r="78" spans="2:11" x14ac:dyDescent="0.2">
      <c r="B78" s="160"/>
      <c r="C78" s="24" t="s">
        <v>18</v>
      </c>
      <c r="D78" s="10">
        <v>24302</v>
      </c>
      <c r="E78" s="11">
        <v>19</v>
      </c>
      <c r="F78" s="11">
        <v>9</v>
      </c>
      <c r="G78" s="26">
        <f>'Clean Data'!F78/'Clean Data'!E78</f>
        <v>0.47368421052631576</v>
      </c>
      <c r="H78" s="11">
        <v>1.53</v>
      </c>
      <c r="I78" s="11">
        <v>7</v>
      </c>
      <c r="J78" s="11">
        <v>-13</v>
      </c>
      <c r="K78" s="33">
        <f t="shared" si="6"/>
        <v>20</v>
      </c>
    </row>
    <row r="79" spans="2:11" x14ac:dyDescent="0.2">
      <c r="B79" s="160"/>
      <c r="C79" s="24" t="s">
        <v>1</v>
      </c>
      <c r="D79" s="10">
        <v>55979</v>
      </c>
      <c r="E79" s="11">
        <v>19</v>
      </c>
      <c r="F79" s="11">
        <v>15</v>
      </c>
      <c r="G79" s="26">
        <f>'Clean Data'!F79/'Clean Data'!E79</f>
        <v>0.78947368421052633</v>
      </c>
      <c r="H79" s="11">
        <v>2.5299999999999998</v>
      </c>
      <c r="I79" s="11">
        <v>32</v>
      </c>
      <c r="J79" s="11">
        <v>13</v>
      </c>
      <c r="K79" s="33">
        <f t="shared" si="6"/>
        <v>19</v>
      </c>
    </row>
    <row r="80" spans="2:11" x14ac:dyDescent="0.2">
      <c r="B80" s="160"/>
      <c r="C80" s="24" t="s">
        <v>47</v>
      </c>
      <c r="D80" s="10">
        <v>11240</v>
      </c>
      <c r="E80" s="11">
        <v>19</v>
      </c>
      <c r="F80" s="11">
        <v>4</v>
      </c>
      <c r="G80" s="26">
        <f>'Clean Data'!F80/'Clean Data'!E80</f>
        <v>0.21052631578947367</v>
      </c>
      <c r="H80" s="11">
        <v>0.84</v>
      </c>
      <c r="I80" s="11">
        <v>-9</v>
      </c>
      <c r="J80" s="11">
        <v>-24</v>
      </c>
      <c r="K80" s="33">
        <f t="shared" si="6"/>
        <v>15</v>
      </c>
    </row>
    <row r="81" spans="2:11" x14ac:dyDescent="0.2">
      <c r="B81" s="160"/>
      <c r="C81" s="24" t="s">
        <v>0</v>
      </c>
      <c r="D81" s="10">
        <v>53012</v>
      </c>
      <c r="E81" s="11">
        <v>19</v>
      </c>
      <c r="F81" s="11">
        <v>14</v>
      </c>
      <c r="G81" s="26">
        <f>'Clean Data'!F81/'Clean Data'!E81</f>
        <v>0.73684210526315785</v>
      </c>
      <c r="H81" s="11">
        <v>2.4700000000000002</v>
      </c>
      <c r="I81" s="11">
        <v>35</v>
      </c>
      <c r="J81" s="11">
        <v>27</v>
      </c>
      <c r="K81" s="33">
        <f t="shared" si="6"/>
        <v>8</v>
      </c>
    </row>
    <row r="82" spans="2:11" x14ac:dyDescent="0.2">
      <c r="B82" s="160"/>
      <c r="C82" s="24" t="s">
        <v>5</v>
      </c>
      <c r="D82" s="10">
        <v>73533</v>
      </c>
      <c r="E82" s="11">
        <v>19</v>
      </c>
      <c r="F82" s="11">
        <v>10</v>
      </c>
      <c r="G82" s="26">
        <f>'Clean Data'!F82/'Clean Data'!E82</f>
        <v>0.52631578947368418</v>
      </c>
      <c r="H82" s="11">
        <v>1.74</v>
      </c>
      <c r="I82" s="11">
        <v>3</v>
      </c>
      <c r="J82" s="11">
        <v>-4</v>
      </c>
      <c r="K82" s="33">
        <f t="shared" si="6"/>
        <v>7</v>
      </c>
    </row>
    <row r="83" spans="2:11" x14ac:dyDescent="0.2">
      <c r="B83" s="160"/>
      <c r="C83" s="24" t="s">
        <v>12</v>
      </c>
      <c r="D83" s="10">
        <v>52125</v>
      </c>
      <c r="E83" s="11">
        <v>19</v>
      </c>
      <c r="F83" s="11">
        <v>12</v>
      </c>
      <c r="G83" s="26">
        <f>'Clean Data'!F83/'Clean Data'!E83</f>
        <v>0.63157894736842102</v>
      </c>
      <c r="H83" s="11">
        <v>2.11</v>
      </c>
      <c r="I83" s="11">
        <v>27</v>
      </c>
      <c r="J83" s="11">
        <v>-4</v>
      </c>
      <c r="K83" s="33">
        <f t="shared" si="6"/>
        <v>31</v>
      </c>
    </row>
    <row r="84" spans="2:11" x14ac:dyDescent="0.2">
      <c r="B84" s="160"/>
      <c r="C84" s="24" t="s">
        <v>48</v>
      </c>
      <c r="D84" s="10">
        <v>29386</v>
      </c>
      <c r="E84" s="11">
        <v>19</v>
      </c>
      <c r="F84" s="11">
        <v>5</v>
      </c>
      <c r="G84" s="26">
        <f>'Clean Data'!F84/'Clean Data'!E84</f>
        <v>0.26315789473684209</v>
      </c>
      <c r="H84" s="11">
        <v>1.05</v>
      </c>
      <c r="I84" s="11">
        <v>-3</v>
      </c>
      <c r="J84" s="11">
        <v>-15</v>
      </c>
      <c r="K84" s="33">
        <f t="shared" si="6"/>
        <v>12</v>
      </c>
    </row>
    <row r="85" spans="2:11" x14ac:dyDescent="0.2">
      <c r="B85" s="160"/>
      <c r="C85" s="24" t="s">
        <v>41</v>
      </c>
      <c r="D85" s="10">
        <v>30011</v>
      </c>
      <c r="E85" s="11">
        <v>19</v>
      </c>
      <c r="F85" s="11">
        <v>2</v>
      </c>
      <c r="G85" s="26">
        <f>'Clean Data'!F85/'Clean Data'!E85</f>
        <v>0.10526315789473684</v>
      </c>
      <c r="H85" s="11">
        <v>0.53</v>
      </c>
      <c r="I85" s="11">
        <v>-38</v>
      </c>
      <c r="J85" s="11">
        <v>-31</v>
      </c>
      <c r="K85" s="33">
        <f t="shared" si="6"/>
        <v>-7</v>
      </c>
    </row>
    <row r="86" spans="2:11" x14ac:dyDescent="0.2">
      <c r="B86" s="160"/>
      <c r="C86" s="24" t="s">
        <v>3</v>
      </c>
      <c r="D86" s="10">
        <v>61482</v>
      </c>
      <c r="E86" s="11">
        <v>19</v>
      </c>
      <c r="F86" s="11">
        <v>13</v>
      </c>
      <c r="G86" s="26">
        <f>'Clean Data'!F86/'Clean Data'!E86</f>
        <v>0.68421052631578949</v>
      </c>
      <c r="H86" s="11">
        <v>2.0499999999999998</v>
      </c>
      <c r="I86" s="11">
        <v>11</v>
      </c>
      <c r="J86" s="11">
        <v>2</v>
      </c>
      <c r="K86" s="33">
        <f t="shared" si="6"/>
        <v>9</v>
      </c>
    </row>
    <row r="87" spans="2:11" x14ac:dyDescent="0.2">
      <c r="B87" s="160"/>
      <c r="C87" s="24" t="s">
        <v>9</v>
      </c>
      <c r="D87" s="10">
        <v>62567</v>
      </c>
      <c r="E87" s="11">
        <v>19</v>
      </c>
      <c r="F87" s="11">
        <v>7</v>
      </c>
      <c r="G87" s="26">
        <f>'Clean Data'!F87/'Clean Data'!E87</f>
        <v>0.36842105263157893</v>
      </c>
      <c r="H87" s="11">
        <v>1.53</v>
      </c>
      <c r="I87" s="11">
        <v>3</v>
      </c>
      <c r="J87" s="11">
        <v>-17</v>
      </c>
      <c r="K87" s="33">
        <f t="shared" si="6"/>
        <v>20</v>
      </c>
    </row>
    <row r="88" spans="2:11" x14ac:dyDescent="0.2">
      <c r="B88" s="160"/>
      <c r="C88" s="28" t="s">
        <v>6</v>
      </c>
      <c r="D88" s="12">
        <v>31029</v>
      </c>
      <c r="E88" s="13">
        <v>19</v>
      </c>
      <c r="F88" s="13">
        <v>8</v>
      </c>
      <c r="G88" s="40">
        <f>'Clean Data'!F88/'Clean Data'!E88</f>
        <v>0.42105263157894735</v>
      </c>
      <c r="H88" s="13">
        <v>1.42</v>
      </c>
      <c r="I88" s="13">
        <v>-4</v>
      </c>
      <c r="J88" s="13">
        <v>-11</v>
      </c>
      <c r="K88" s="34">
        <f t="shared" ref="K88" si="7">I88-J88</f>
        <v>7</v>
      </c>
    </row>
    <row r="91" spans="2:11" ht="16" customHeight="1" x14ac:dyDescent="0.2"/>
  </sheetData>
  <mergeCells count="7">
    <mergeCell ref="B46:B66"/>
    <mergeCell ref="B68:B88"/>
    <mergeCell ref="C4:J4"/>
    <mergeCell ref="K4:R4"/>
    <mergeCell ref="S4:Z4"/>
    <mergeCell ref="B4:B5"/>
    <mergeCell ref="B24:B44"/>
  </mergeCells>
  <phoneticPr fontId="13"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69DA-205D-054A-BFA3-4C783F886EFD}">
  <sheetPr codeName="Sheet3"/>
  <dimension ref="B1:E13"/>
  <sheetViews>
    <sheetView showGridLines="0" zoomScaleNormal="100" workbookViewId="0"/>
  </sheetViews>
  <sheetFormatPr baseColWidth="10" defaultRowHeight="16" x14ac:dyDescent="0.2"/>
  <cols>
    <col min="1" max="1" width="10.83203125" style="54"/>
    <col min="2" max="2" width="23.1640625" style="54" bestFit="1" customWidth="1"/>
    <col min="3" max="3" width="116.83203125" style="54" customWidth="1"/>
    <col min="4" max="4" width="44.1640625" style="54" bestFit="1" customWidth="1"/>
    <col min="5" max="5" width="10.6640625" style="54" bestFit="1" customWidth="1"/>
    <col min="6" max="6" width="31.5" style="54" customWidth="1"/>
    <col min="7" max="7" width="10.6640625" style="54" bestFit="1" customWidth="1"/>
    <col min="8" max="8" width="32.33203125" style="54" customWidth="1"/>
    <col min="9" max="16384" width="10.83203125" style="54"/>
  </cols>
  <sheetData>
    <row r="1" spans="2:5" ht="20" customHeight="1" x14ac:dyDescent="0.2"/>
    <row r="2" spans="2:5" ht="20" customHeight="1" x14ac:dyDescent="0.2">
      <c r="B2" s="53" t="s">
        <v>55</v>
      </c>
    </row>
    <row r="3" spans="2:5" ht="20" customHeight="1" x14ac:dyDescent="0.2"/>
    <row r="4" spans="2:5" ht="20" customHeight="1" x14ac:dyDescent="0.2">
      <c r="B4" s="61" t="s">
        <v>58</v>
      </c>
      <c r="C4" s="62" t="s">
        <v>59</v>
      </c>
      <c r="D4" s="63" t="s">
        <v>60</v>
      </c>
      <c r="E4" s="64"/>
    </row>
    <row r="5" spans="2:5" ht="20" customHeight="1" x14ac:dyDescent="0.2">
      <c r="B5" s="51" t="s">
        <v>21</v>
      </c>
      <c r="C5" s="56" t="s">
        <v>57</v>
      </c>
      <c r="D5" s="55" t="s">
        <v>80</v>
      </c>
      <c r="E5" s="64"/>
    </row>
    <row r="6" spans="2:5" ht="20" customHeight="1" x14ac:dyDescent="0.2">
      <c r="B6" s="51" t="s">
        <v>37</v>
      </c>
      <c r="C6" s="56" t="s">
        <v>56</v>
      </c>
      <c r="D6" s="57" t="s">
        <v>68</v>
      </c>
      <c r="E6" s="64"/>
    </row>
    <row r="7" spans="2:5" ht="20" customHeight="1" x14ac:dyDescent="0.2">
      <c r="B7" s="51" t="s">
        <v>22</v>
      </c>
      <c r="C7" s="56" t="s">
        <v>62</v>
      </c>
      <c r="D7" s="55">
        <v>19</v>
      </c>
      <c r="E7" s="64"/>
    </row>
    <row r="8" spans="2:5" ht="20" customHeight="1" x14ac:dyDescent="0.2">
      <c r="B8" s="51" t="s">
        <v>23</v>
      </c>
      <c r="C8" s="56" t="s">
        <v>63</v>
      </c>
      <c r="D8" s="58" t="s">
        <v>67</v>
      </c>
      <c r="E8" s="64"/>
    </row>
    <row r="9" spans="2:5" ht="20" customHeight="1" x14ac:dyDescent="0.2">
      <c r="B9" s="51" t="s">
        <v>51</v>
      </c>
      <c r="C9" s="56" t="s">
        <v>61</v>
      </c>
      <c r="D9" s="58" t="s">
        <v>66</v>
      </c>
      <c r="E9" s="64"/>
    </row>
    <row r="10" spans="2:5" ht="20" customHeight="1" x14ac:dyDescent="0.2">
      <c r="B10" s="51" t="s">
        <v>30</v>
      </c>
      <c r="C10" s="56" t="s">
        <v>64</v>
      </c>
      <c r="D10" s="58" t="s">
        <v>65</v>
      </c>
      <c r="E10" s="64"/>
    </row>
    <row r="11" spans="2:5" ht="20" customHeight="1" x14ac:dyDescent="0.2">
      <c r="B11" s="51" t="s">
        <v>49</v>
      </c>
      <c r="C11" s="56" t="s">
        <v>69</v>
      </c>
      <c r="D11" s="58" t="s">
        <v>71</v>
      </c>
      <c r="E11" s="64"/>
    </row>
    <row r="12" spans="2:5" ht="20" customHeight="1" x14ac:dyDescent="0.2">
      <c r="B12" s="51" t="s">
        <v>50</v>
      </c>
      <c r="C12" s="56" t="s">
        <v>70</v>
      </c>
      <c r="D12" s="58" t="s">
        <v>72</v>
      </c>
      <c r="E12" s="64"/>
    </row>
    <row r="13" spans="2:5" ht="20" customHeight="1" x14ac:dyDescent="0.2">
      <c r="B13" s="52" t="s">
        <v>52</v>
      </c>
      <c r="C13" s="59" t="s">
        <v>74</v>
      </c>
      <c r="D13" s="60" t="s">
        <v>73</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C0AB-63FC-E84B-A8F0-F590EC266E00}">
  <dimension ref="A2:S63"/>
  <sheetViews>
    <sheetView showGridLines="0" zoomScaleNormal="100" workbookViewId="0"/>
  </sheetViews>
  <sheetFormatPr baseColWidth="10" defaultRowHeight="16" x14ac:dyDescent="0.2"/>
  <cols>
    <col min="1" max="1" width="10.83203125" style="66"/>
    <col min="2" max="15" width="25.33203125" style="66" customWidth="1"/>
    <col min="16" max="19" width="10.83203125" style="66" customWidth="1"/>
    <col min="20" max="16384" width="10.83203125" style="66"/>
  </cols>
  <sheetData>
    <row r="2" spans="1:19" x14ac:dyDescent="0.2">
      <c r="B2" s="29" t="s">
        <v>53</v>
      </c>
    </row>
    <row r="4" spans="1:19" x14ac:dyDescent="0.2">
      <c r="B4" s="160" t="s">
        <v>37</v>
      </c>
      <c r="C4" s="160"/>
      <c r="D4" s="160"/>
      <c r="F4" s="160" t="s">
        <v>49</v>
      </c>
      <c r="G4" s="160"/>
      <c r="H4" s="160"/>
      <c r="J4" s="160" t="s">
        <v>75</v>
      </c>
      <c r="K4" s="160"/>
      <c r="L4" s="160"/>
    </row>
    <row r="5" spans="1:19" x14ac:dyDescent="0.2">
      <c r="B5" s="16" t="s">
        <v>38</v>
      </c>
      <c r="C5" s="38" t="s">
        <v>42</v>
      </c>
      <c r="D5" s="39" t="s">
        <v>46</v>
      </c>
      <c r="F5" s="16" t="s">
        <v>38</v>
      </c>
      <c r="G5" s="38" t="s">
        <v>42</v>
      </c>
      <c r="H5" s="39" t="s">
        <v>46</v>
      </c>
      <c r="J5" s="16" t="s">
        <v>38</v>
      </c>
      <c r="K5" s="38" t="s">
        <v>42</v>
      </c>
      <c r="L5" s="39" t="s">
        <v>46</v>
      </c>
    </row>
    <row r="6" spans="1:19" x14ac:dyDescent="0.2">
      <c r="B6" s="73">
        <v>59899</v>
      </c>
      <c r="C6" s="71">
        <v>632</v>
      </c>
      <c r="D6" s="74">
        <v>60236</v>
      </c>
      <c r="F6" s="67">
        <v>26</v>
      </c>
      <c r="G6" s="71">
        <v>3</v>
      </c>
      <c r="H6" s="68">
        <v>32</v>
      </c>
      <c r="J6" s="78">
        <v>0.73684210526315785</v>
      </c>
      <c r="K6" s="79">
        <v>0.42105263157894735</v>
      </c>
      <c r="L6" s="80">
        <v>0.78947368421052633</v>
      </c>
    </row>
    <row r="7" spans="1:19" x14ac:dyDescent="0.2">
      <c r="B7" s="73">
        <v>30426</v>
      </c>
      <c r="C7" s="71">
        <v>523</v>
      </c>
      <c r="D7" s="74">
        <v>32638</v>
      </c>
      <c r="F7" s="67">
        <v>-9</v>
      </c>
      <c r="G7" s="71">
        <v>0</v>
      </c>
      <c r="H7" s="68">
        <v>3</v>
      </c>
      <c r="J7" s="78">
        <v>0.31578947368421051</v>
      </c>
      <c r="K7" s="79">
        <v>0.21052631578947367</v>
      </c>
      <c r="L7" s="80">
        <v>0.42105263157894735</v>
      </c>
    </row>
    <row r="8" spans="1:19" x14ac:dyDescent="0.2">
      <c r="B8" s="73">
        <v>20534</v>
      </c>
      <c r="C8" s="71">
        <v>178</v>
      </c>
      <c r="D8" s="74">
        <v>21184</v>
      </c>
      <c r="F8" s="67">
        <v>-8</v>
      </c>
      <c r="G8" s="71">
        <v>-13</v>
      </c>
      <c r="H8" s="68">
        <v>-24</v>
      </c>
      <c r="J8" s="78">
        <v>0.36842105263157893</v>
      </c>
      <c r="K8" s="79">
        <v>0.21052631578947367</v>
      </c>
      <c r="L8" s="80">
        <v>0.10526315789473684</v>
      </c>
    </row>
    <row r="9" spans="1:19" x14ac:dyDescent="0.2">
      <c r="B9" s="73">
        <v>40437</v>
      </c>
      <c r="C9" s="71">
        <v>526</v>
      </c>
      <c r="D9" s="74">
        <v>39524</v>
      </c>
      <c r="F9" s="67">
        <v>27</v>
      </c>
      <c r="G9" s="71">
        <v>13</v>
      </c>
      <c r="H9" s="68">
        <v>18</v>
      </c>
      <c r="J9" s="78">
        <v>0.63157894736842102</v>
      </c>
      <c r="K9" s="79">
        <v>0.47368421052631576</v>
      </c>
      <c r="L9" s="80">
        <v>0.57894736842105265</v>
      </c>
    </row>
    <row r="10" spans="1:19" x14ac:dyDescent="0.2">
      <c r="A10" s="6"/>
      <c r="B10" s="73">
        <v>25455</v>
      </c>
      <c r="C10" s="71">
        <v>447</v>
      </c>
      <c r="D10" s="74">
        <v>24932</v>
      </c>
      <c r="F10" s="67">
        <v>-4</v>
      </c>
      <c r="G10" s="71">
        <v>-12</v>
      </c>
      <c r="H10" s="68">
        <v>11</v>
      </c>
      <c r="I10" s="6"/>
      <c r="J10" s="78">
        <v>0.26315789473684209</v>
      </c>
      <c r="K10" s="79">
        <v>0.31578947368421051</v>
      </c>
      <c r="L10" s="80">
        <v>0.42105263157894735</v>
      </c>
      <c r="Q10" s="94"/>
      <c r="R10" s="6"/>
      <c r="S10" s="6"/>
    </row>
    <row r="11" spans="1:19" x14ac:dyDescent="0.2">
      <c r="A11" s="6"/>
      <c r="B11" s="73">
        <v>39043</v>
      </c>
      <c r="C11" s="71">
        <v>368</v>
      </c>
      <c r="D11" s="74">
        <v>39042</v>
      </c>
      <c r="F11" s="67">
        <v>9</v>
      </c>
      <c r="G11" s="71">
        <v>-4</v>
      </c>
      <c r="H11" s="68">
        <v>4</v>
      </c>
      <c r="I11" s="6"/>
      <c r="J11" s="78">
        <v>0.52631578947368418</v>
      </c>
      <c r="K11" s="79">
        <v>0.31578947368421051</v>
      </c>
      <c r="L11" s="80">
        <v>0.42105263157894735</v>
      </c>
      <c r="Q11" s="94"/>
      <c r="R11" s="6"/>
      <c r="S11" s="6"/>
    </row>
    <row r="12" spans="1:19" x14ac:dyDescent="0.2">
      <c r="A12" s="6"/>
      <c r="B12" s="73">
        <v>24371</v>
      </c>
      <c r="C12" s="71">
        <v>211</v>
      </c>
      <c r="D12" s="74">
        <v>24302</v>
      </c>
      <c r="F12" s="67">
        <v>-14</v>
      </c>
      <c r="G12" s="71">
        <v>-19</v>
      </c>
      <c r="H12" s="68">
        <v>7</v>
      </c>
      <c r="I12" s="6"/>
      <c r="J12" s="78">
        <v>0.31578947368421051</v>
      </c>
      <c r="K12" s="79">
        <v>0.10526315789473684</v>
      </c>
      <c r="L12" s="80">
        <v>0.47368421052631576</v>
      </c>
      <c r="Q12" s="94"/>
      <c r="R12" s="6"/>
      <c r="S12" s="6"/>
    </row>
    <row r="13" spans="1:19" x14ac:dyDescent="0.2">
      <c r="A13" s="6"/>
      <c r="B13" s="73">
        <v>52983</v>
      </c>
      <c r="C13" s="71">
        <v>837</v>
      </c>
      <c r="D13" s="74">
        <v>55979</v>
      </c>
      <c r="F13" s="67">
        <v>45</v>
      </c>
      <c r="G13" s="71">
        <v>9</v>
      </c>
      <c r="H13" s="68">
        <v>32</v>
      </c>
      <c r="I13" s="6"/>
      <c r="J13" s="78">
        <v>0.89473684210526316</v>
      </c>
      <c r="K13" s="79">
        <v>0.52631578947368418</v>
      </c>
      <c r="L13" s="80">
        <v>0.78947368421052633</v>
      </c>
      <c r="Q13" s="94"/>
      <c r="R13" s="6"/>
      <c r="S13" s="6"/>
    </row>
    <row r="14" spans="1:19" x14ac:dyDescent="0.2">
      <c r="A14" s="6"/>
      <c r="B14" s="73">
        <v>54130</v>
      </c>
      <c r="C14" s="71">
        <v>526</v>
      </c>
      <c r="D14" s="74">
        <v>53012</v>
      </c>
      <c r="F14" s="67">
        <v>45</v>
      </c>
      <c r="G14" s="71">
        <v>26</v>
      </c>
      <c r="H14" s="68">
        <v>35</v>
      </c>
      <c r="I14" s="6"/>
      <c r="J14" s="78">
        <v>0.94736842105263153</v>
      </c>
      <c r="K14" s="79">
        <v>0.68421052631578949</v>
      </c>
      <c r="L14" s="80">
        <v>0.73684210526315785</v>
      </c>
      <c r="Q14" s="94"/>
      <c r="R14" s="6"/>
      <c r="S14" s="6"/>
    </row>
    <row r="15" spans="1:19" x14ac:dyDescent="0.2">
      <c r="A15" s="6"/>
      <c r="B15" s="73">
        <v>74498</v>
      </c>
      <c r="C15" s="71">
        <v>526</v>
      </c>
      <c r="D15" s="74">
        <v>73533</v>
      </c>
      <c r="F15" s="67">
        <v>8</v>
      </c>
      <c r="G15" s="71">
        <v>10</v>
      </c>
      <c r="H15" s="68">
        <v>3</v>
      </c>
      <c r="I15" s="6"/>
      <c r="J15" s="78">
        <v>0.52631578947368418</v>
      </c>
      <c r="K15" s="79">
        <v>0.47368421052631576</v>
      </c>
      <c r="L15" s="80">
        <v>0.52631578947368418</v>
      </c>
      <c r="Q15" s="94"/>
      <c r="R15" s="6"/>
      <c r="S15" s="6"/>
    </row>
    <row r="16" spans="1:19" x14ac:dyDescent="0.2">
      <c r="A16" s="6"/>
      <c r="B16" s="73">
        <v>51121</v>
      </c>
      <c r="C16" s="71">
        <v>526</v>
      </c>
      <c r="D16" s="74">
        <v>52125</v>
      </c>
      <c r="F16" s="67">
        <v>-1</v>
      </c>
      <c r="G16" s="71">
        <v>-7</v>
      </c>
      <c r="H16" s="68">
        <v>27</v>
      </c>
      <c r="I16" s="6"/>
      <c r="J16" s="78">
        <v>0.42105263157894735</v>
      </c>
      <c r="K16" s="79">
        <v>0.31578947368421051</v>
      </c>
      <c r="L16" s="80">
        <v>0.63157894736842102</v>
      </c>
      <c r="Q16" s="94"/>
      <c r="R16" s="6"/>
      <c r="S16" s="6"/>
    </row>
    <row r="17" spans="1:19" x14ac:dyDescent="0.2">
      <c r="A17" s="6"/>
      <c r="B17" s="75">
        <v>54216</v>
      </c>
      <c r="C17" s="72">
        <v>632</v>
      </c>
      <c r="D17" s="76">
        <v>61482</v>
      </c>
      <c r="F17" s="69">
        <v>18</v>
      </c>
      <c r="G17" s="72">
        <v>15</v>
      </c>
      <c r="H17" s="70">
        <v>11</v>
      </c>
      <c r="I17" s="6"/>
      <c r="J17" s="81">
        <v>0.63157894736842102</v>
      </c>
      <c r="K17" s="82">
        <v>0.52631578947368418</v>
      </c>
      <c r="L17" s="83">
        <v>0.68421052631578949</v>
      </c>
      <c r="Q17" s="94"/>
      <c r="R17" s="6"/>
      <c r="S17" s="6"/>
    </row>
    <row r="18" spans="1:19" x14ac:dyDescent="0.2">
      <c r="A18" s="6"/>
      <c r="B18" s="75">
        <v>58336</v>
      </c>
      <c r="C18" s="72">
        <v>632</v>
      </c>
      <c r="D18" s="76">
        <v>62567</v>
      </c>
      <c r="E18" s="6"/>
      <c r="F18" s="69">
        <v>5</v>
      </c>
      <c r="G18" s="72">
        <v>10</v>
      </c>
      <c r="H18" s="70">
        <v>3</v>
      </c>
      <c r="I18" s="6"/>
      <c r="J18" s="81">
        <v>0.47368421052631576</v>
      </c>
      <c r="K18" s="82">
        <v>0.52631578947368418</v>
      </c>
      <c r="L18" s="83">
        <v>0.36842105263157893</v>
      </c>
      <c r="Q18" s="94"/>
      <c r="R18" s="6"/>
      <c r="S18" s="6"/>
    </row>
    <row r="19" spans="1:19" x14ac:dyDescent="0.2">
      <c r="A19" s="6"/>
      <c r="B19" s="75">
        <v>31030</v>
      </c>
      <c r="C19" s="72">
        <v>237</v>
      </c>
      <c r="D19" s="76">
        <v>31029</v>
      </c>
      <c r="E19" s="6"/>
      <c r="F19" s="69">
        <v>7</v>
      </c>
      <c r="G19" s="72">
        <v>-4</v>
      </c>
      <c r="H19" s="70">
        <v>-4</v>
      </c>
      <c r="I19" s="6"/>
      <c r="J19" s="81">
        <v>0.52631578947368418</v>
      </c>
      <c r="K19" s="82">
        <v>0.36842105263157893</v>
      </c>
      <c r="L19" s="83">
        <v>0.42105263157894735</v>
      </c>
      <c r="Q19" s="94"/>
      <c r="R19" s="6"/>
      <c r="S19" s="6"/>
    </row>
    <row r="20" spans="1:19" x14ac:dyDescent="0.2">
      <c r="A20" s="6"/>
      <c r="B20" s="133" t="s">
        <v>151</v>
      </c>
      <c r="C20" s="6"/>
      <c r="D20" s="6"/>
      <c r="E20" s="6"/>
      <c r="F20" s="133" t="s">
        <v>152</v>
      </c>
      <c r="G20" s="6"/>
      <c r="H20" s="6"/>
      <c r="I20" s="6"/>
      <c r="J20" s="133" t="s">
        <v>153</v>
      </c>
      <c r="Q20" s="94"/>
      <c r="R20" s="6"/>
      <c r="S20" s="6"/>
    </row>
    <row r="21" spans="1:19" x14ac:dyDescent="0.2">
      <c r="A21" s="6"/>
      <c r="B21" s="6"/>
      <c r="C21" s="6"/>
      <c r="D21" s="6"/>
      <c r="E21" s="6"/>
      <c r="F21" s="6"/>
      <c r="G21" s="6"/>
      <c r="H21" s="6"/>
      <c r="I21" s="6"/>
      <c r="J21" s="6"/>
      <c r="Q21" s="94"/>
      <c r="R21" s="6"/>
      <c r="S21" s="6"/>
    </row>
    <row r="22" spans="1:19" x14ac:dyDescent="0.2">
      <c r="A22" s="6"/>
      <c r="B22" s="6"/>
      <c r="C22" s="6"/>
      <c r="D22" s="6"/>
      <c r="E22" s="6"/>
      <c r="F22" s="6"/>
      <c r="G22" s="6"/>
      <c r="H22" s="6"/>
      <c r="I22" s="6"/>
      <c r="J22" s="6"/>
      <c r="Q22" s="94"/>
      <c r="R22" s="6"/>
      <c r="S22" s="6"/>
    </row>
    <row r="23" spans="1:19" x14ac:dyDescent="0.2">
      <c r="A23" s="6"/>
      <c r="B23" s="6"/>
      <c r="C23" s="6"/>
      <c r="D23" s="6"/>
      <c r="E23" s="6"/>
      <c r="F23" s="6"/>
      <c r="G23" s="6"/>
      <c r="H23" s="6"/>
      <c r="I23" s="6"/>
      <c r="J23" s="6"/>
      <c r="Q23" s="94"/>
      <c r="R23" s="6"/>
      <c r="S23" s="6"/>
    </row>
    <row r="24" spans="1:19" x14ac:dyDescent="0.2">
      <c r="A24" s="6"/>
      <c r="B24" s="6"/>
      <c r="C24" s="6"/>
      <c r="D24" s="6"/>
      <c r="E24" s="6"/>
      <c r="F24" s="6"/>
      <c r="G24" s="6"/>
      <c r="H24" s="6"/>
      <c r="I24" s="6"/>
      <c r="J24" s="6"/>
      <c r="Q24" s="94"/>
      <c r="R24" s="6"/>
      <c r="S24" s="6"/>
    </row>
    <row r="25" spans="1:19" x14ac:dyDescent="0.2">
      <c r="A25" s="6"/>
      <c r="B25" s="6"/>
      <c r="C25" s="6"/>
      <c r="D25" s="6"/>
      <c r="E25" s="6"/>
      <c r="F25" s="6"/>
      <c r="G25" s="6"/>
      <c r="H25" s="6"/>
      <c r="I25" s="6"/>
      <c r="J25" s="6"/>
    </row>
    <row r="26" spans="1:19" x14ac:dyDescent="0.2">
      <c r="A26" s="6"/>
      <c r="B26" s="6"/>
      <c r="C26" s="6"/>
      <c r="D26" s="6"/>
      <c r="E26" s="6"/>
      <c r="F26" s="6"/>
      <c r="G26" s="6"/>
      <c r="H26" s="6"/>
      <c r="I26" s="6"/>
      <c r="J26" s="6"/>
    </row>
    <row r="27" spans="1:19" x14ac:dyDescent="0.2">
      <c r="A27" s="6"/>
      <c r="B27" s="14"/>
      <c r="C27" s="6"/>
      <c r="D27" s="6"/>
      <c r="E27" s="6"/>
      <c r="F27" s="6"/>
      <c r="G27" s="6"/>
      <c r="H27" s="6"/>
      <c r="I27" s="6"/>
      <c r="J27" s="6"/>
      <c r="Q27" s="65"/>
      <c r="R27" s="6"/>
      <c r="S27" s="14"/>
    </row>
    <row r="28" spans="1:19" x14ac:dyDescent="0.2">
      <c r="A28" s="6"/>
      <c r="B28" s="14"/>
      <c r="C28" s="6"/>
      <c r="D28" s="6"/>
      <c r="E28" s="6"/>
      <c r="F28" s="6"/>
      <c r="G28" s="6"/>
      <c r="H28" s="6"/>
      <c r="I28" s="6"/>
      <c r="J28" s="6"/>
      <c r="Q28" s="65"/>
      <c r="R28" s="6"/>
      <c r="S28" s="14"/>
    </row>
    <row r="29" spans="1:19" x14ac:dyDescent="0.2">
      <c r="A29" s="6"/>
      <c r="B29" s="14"/>
      <c r="C29" s="6"/>
      <c r="D29" s="6"/>
      <c r="E29" s="6"/>
      <c r="F29" s="6"/>
      <c r="G29" s="6"/>
      <c r="H29" s="6"/>
      <c r="I29" s="6"/>
      <c r="J29" s="6"/>
      <c r="Q29" s="65"/>
      <c r="R29" s="6"/>
      <c r="S29" s="14"/>
    </row>
    <row r="30" spans="1:19" x14ac:dyDescent="0.2">
      <c r="A30" s="6"/>
      <c r="B30" s="14"/>
      <c r="C30" s="6"/>
      <c r="D30" s="6"/>
      <c r="E30" s="6"/>
      <c r="F30" s="6"/>
      <c r="G30" s="6"/>
      <c r="H30" s="6"/>
      <c r="I30" s="6"/>
      <c r="J30" s="6"/>
      <c r="Q30" s="65"/>
      <c r="R30" s="6"/>
      <c r="S30" s="14"/>
    </row>
    <row r="31" spans="1:19" x14ac:dyDescent="0.2">
      <c r="A31" s="6"/>
      <c r="B31" s="14"/>
      <c r="C31" s="6"/>
      <c r="D31" s="6"/>
      <c r="E31" s="6"/>
      <c r="F31" s="6"/>
      <c r="G31" s="6"/>
      <c r="H31" s="6"/>
      <c r="I31" s="6"/>
      <c r="J31" s="6"/>
      <c r="Q31" s="65"/>
      <c r="R31" s="6"/>
      <c r="S31" s="14"/>
    </row>
    <row r="32" spans="1:19" x14ac:dyDescent="0.2">
      <c r="A32" s="6"/>
      <c r="B32" s="14"/>
      <c r="C32" s="6"/>
      <c r="D32" s="6"/>
      <c r="E32" s="6"/>
      <c r="F32" s="6"/>
      <c r="G32" s="6"/>
      <c r="H32" s="6"/>
      <c r="I32" s="6"/>
      <c r="J32" s="6"/>
      <c r="Q32" s="65"/>
      <c r="R32" s="6"/>
      <c r="S32" s="14"/>
    </row>
    <row r="33" spans="1:19" x14ac:dyDescent="0.2">
      <c r="A33" s="6"/>
      <c r="B33" s="14"/>
      <c r="C33" s="6"/>
      <c r="D33" s="6"/>
      <c r="E33" s="6"/>
      <c r="F33" s="6"/>
      <c r="G33" s="6"/>
      <c r="H33" s="6"/>
      <c r="I33" s="6"/>
      <c r="J33" s="6"/>
      <c r="Q33" s="65"/>
      <c r="R33" s="6"/>
      <c r="S33" s="14"/>
    </row>
    <row r="34" spans="1:19" x14ac:dyDescent="0.2">
      <c r="A34" s="6"/>
      <c r="B34" s="14"/>
      <c r="C34" s="6"/>
      <c r="D34" s="6"/>
      <c r="E34" s="6"/>
      <c r="F34" s="6"/>
      <c r="G34" s="6"/>
      <c r="H34" s="6"/>
      <c r="I34" s="6"/>
      <c r="J34" s="6"/>
      <c r="Q34" s="65"/>
      <c r="R34" s="6"/>
      <c r="S34" s="14"/>
    </row>
    <row r="35" spans="1:19" x14ac:dyDescent="0.2">
      <c r="A35" s="6"/>
      <c r="B35" s="14"/>
      <c r="C35" s="6"/>
      <c r="D35" s="6"/>
      <c r="E35" s="6"/>
      <c r="F35" s="6"/>
      <c r="G35" s="6"/>
      <c r="H35" s="6"/>
      <c r="I35" s="6"/>
      <c r="J35" s="6"/>
      <c r="Q35" s="65"/>
      <c r="R35" s="6"/>
      <c r="S35" s="14"/>
    </row>
    <row r="36" spans="1:19" x14ac:dyDescent="0.2">
      <c r="A36" s="6"/>
      <c r="P36" s="86"/>
      <c r="Q36" s="65"/>
      <c r="R36" s="6"/>
      <c r="S36" s="14"/>
    </row>
    <row r="37" spans="1:19" x14ac:dyDescent="0.2">
      <c r="A37" s="6"/>
      <c r="P37" s="86"/>
      <c r="Q37" s="65"/>
      <c r="R37" s="6"/>
      <c r="S37" s="14"/>
    </row>
    <row r="38" spans="1:19" x14ac:dyDescent="0.2">
      <c r="A38" s="6"/>
      <c r="P38" s="86"/>
      <c r="Q38" s="65"/>
      <c r="R38" s="6"/>
      <c r="S38" s="14"/>
    </row>
    <row r="39" spans="1:19" x14ac:dyDescent="0.2">
      <c r="A39" s="6"/>
      <c r="B39" s="91" t="s">
        <v>21</v>
      </c>
      <c r="C39" s="92" t="s">
        <v>76</v>
      </c>
      <c r="D39" s="93" t="s">
        <v>77</v>
      </c>
      <c r="E39" s="6"/>
      <c r="G39" s="91" t="s">
        <v>21</v>
      </c>
      <c r="H39" s="92" t="s">
        <v>76</v>
      </c>
      <c r="I39" s="93" t="s">
        <v>78</v>
      </c>
      <c r="J39" s="6"/>
      <c r="K39" s="6"/>
      <c r="M39" s="123" t="s">
        <v>149</v>
      </c>
      <c r="N39" s="29"/>
      <c r="P39" s="86"/>
    </row>
    <row r="40" spans="1:19" x14ac:dyDescent="0.2">
      <c r="A40" s="6"/>
      <c r="B40" s="24" t="s">
        <v>4</v>
      </c>
      <c r="C40" s="87">
        <v>20.333333333333332</v>
      </c>
      <c r="D40" s="88">
        <v>13</v>
      </c>
      <c r="E40" s="6"/>
      <c r="G40" s="24" t="s">
        <v>4</v>
      </c>
      <c r="H40" s="87">
        <v>20.333333333333332</v>
      </c>
      <c r="I40" s="88">
        <v>40255.666666666664</v>
      </c>
      <c r="J40" s="6"/>
      <c r="K40" s="6"/>
      <c r="M40" s="6"/>
    </row>
    <row r="41" spans="1:19" x14ac:dyDescent="0.2">
      <c r="A41" s="6"/>
      <c r="B41" s="24" t="s">
        <v>16</v>
      </c>
      <c r="C41" s="87">
        <v>-2</v>
      </c>
      <c r="D41" s="88">
        <v>-10.666666666666666</v>
      </c>
      <c r="E41" s="6"/>
      <c r="G41" s="24" t="s">
        <v>16</v>
      </c>
      <c r="H41" s="87">
        <v>-2</v>
      </c>
      <c r="I41" s="88">
        <v>21195.666666666668</v>
      </c>
      <c r="J41" s="6"/>
      <c r="K41" s="6"/>
      <c r="N41" s="124" t="s">
        <v>76</v>
      </c>
      <c r="O41" s="125" t="s">
        <v>77</v>
      </c>
    </row>
    <row r="42" spans="1:19" x14ac:dyDescent="0.2">
      <c r="A42" s="6"/>
      <c r="B42" s="24" t="s">
        <v>14</v>
      </c>
      <c r="C42" s="87">
        <v>-15</v>
      </c>
      <c r="D42" s="88">
        <v>-12.333333333333334</v>
      </c>
      <c r="E42" s="6"/>
      <c r="G42" s="24" t="s">
        <v>14</v>
      </c>
      <c r="H42" s="87">
        <v>-15</v>
      </c>
      <c r="I42" s="88">
        <v>13965.333333333334</v>
      </c>
      <c r="J42" s="6"/>
      <c r="K42" s="6"/>
      <c r="M42" s="126" t="s">
        <v>38</v>
      </c>
      <c r="N42" s="127">
        <f>AVERAGE('[1]Clean Data PL'!H8:H21)</f>
        <v>11</v>
      </c>
      <c r="O42" s="128">
        <f>AVERAGE('[1]Clean Data PL'!I8:I21)</f>
        <v>-1.9285714285714286</v>
      </c>
    </row>
    <row r="43" spans="1:19" x14ac:dyDescent="0.2">
      <c r="A43" s="6"/>
      <c r="B43" s="24" t="s">
        <v>2</v>
      </c>
      <c r="C43" s="87">
        <v>19.333333333333332</v>
      </c>
      <c r="D43" s="88">
        <v>0.66666666666666663</v>
      </c>
      <c r="E43" s="6"/>
      <c r="G43" s="24" t="s">
        <v>2</v>
      </c>
      <c r="H43" s="87">
        <v>19.333333333333332</v>
      </c>
      <c r="I43" s="88">
        <v>26829</v>
      </c>
      <c r="J43" s="6"/>
      <c r="K43" s="6"/>
      <c r="M43" s="129" t="s">
        <v>42</v>
      </c>
      <c r="N43" s="127">
        <f>AVERAGE('[1]Clean Data PL'!P8:P21)</f>
        <v>1.9285714285714286</v>
      </c>
      <c r="O43" s="128">
        <f>AVERAGE('[1]Clean Data PL'!Q8:Q21)</f>
        <v>3.0714285714285716</v>
      </c>
    </row>
    <row r="44" spans="1:19" x14ac:dyDescent="0.2">
      <c r="A44" s="6"/>
      <c r="B44" s="24" t="s">
        <v>11</v>
      </c>
      <c r="C44" s="87">
        <v>-1.6666666666666667</v>
      </c>
      <c r="D44" s="88">
        <v>-7.666666666666667</v>
      </c>
      <c r="E44" s="6"/>
      <c r="G44" s="24" t="s">
        <v>11</v>
      </c>
      <c r="H44" s="87">
        <v>-1.6666666666666667</v>
      </c>
      <c r="I44" s="88">
        <v>16944.666666666668</v>
      </c>
      <c r="J44" s="6"/>
      <c r="K44" s="6"/>
      <c r="M44" s="130" t="s">
        <v>46</v>
      </c>
      <c r="N44" s="131">
        <f>AVERAGE('[1]Clean Data PL'!X8:X21)</f>
        <v>11.285714285714286</v>
      </c>
      <c r="O44" s="132">
        <f>AVERAGE('[1]Clean Data PL'!Y8:Y21)</f>
        <v>-2.2142857142857144</v>
      </c>
    </row>
    <row r="45" spans="1:19" x14ac:dyDescent="0.2">
      <c r="A45" s="6"/>
      <c r="B45" s="24" t="s">
        <v>7</v>
      </c>
      <c r="C45" s="87">
        <v>3</v>
      </c>
      <c r="D45" s="88">
        <v>-4.333333333333333</v>
      </c>
      <c r="E45" s="6"/>
      <c r="G45" s="24" t="s">
        <v>7</v>
      </c>
      <c r="H45" s="87">
        <v>3</v>
      </c>
      <c r="I45" s="88">
        <v>26151</v>
      </c>
      <c r="J45" s="6"/>
      <c r="K45" s="6"/>
    </row>
    <row r="46" spans="1:19" x14ac:dyDescent="0.2">
      <c r="A46" s="6"/>
      <c r="B46" s="24" t="s">
        <v>18</v>
      </c>
      <c r="C46" s="87">
        <v>-8.6666666666666661</v>
      </c>
      <c r="D46" s="88">
        <v>-17.666666666666668</v>
      </c>
      <c r="E46" s="6"/>
      <c r="G46" s="24" t="s">
        <v>18</v>
      </c>
      <c r="H46" s="87">
        <v>-8.6666666666666661</v>
      </c>
      <c r="I46" s="88">
        <v>16294.666666666666</v>
      </c>
      <c r="J46" s="6"/>
      <c r="K46" s="6"/>
    </row>
    <row r="47" spans="1:19" x14ac:dyDescent="0.2">
      <c r="A47" s="6"/>
      <c r="B47" s="24" t="s">
        <v>1</v>
      </c>
      <c r="C47" s="87">
        <v>28.666666666666668</v>
      </c>
      <c r="D47" s="88">
        <v>17.333333333333332</v>
      </c>
      <c r="E47" s="6"/>
      <c r="G47" s="24" t="s">
        <v>1</v>
      </c>
      <c r="H47" s="87">
        <v>28.666666666666668</v>
      </c>
      <c r="I47" s="88">
        <v>36599.666666666664</v>
      </c>
      <c r="J47" s="6"/>
      <c r="K47" s="6"/>
      <c r="M47" s="77"/>
      <c r="N47" s="95" t="s">
        <v>79</v>
      </c>
    </row>
    <row r="48" spans="1:19" x14ac:dyDescent="0.2">
      <c r="A48" s="6"/>
      <c r="B48" s="24" t="s">
        <v>0</v>
      </c>
      <c r="C48" s="87">
        <v>35.333333333333336</v>
      </c>
      <c r="D48" s="88">
        <v>26.333333333333332</v>
      </c>
      <c r="E48" s="6"/>
      <c r="G48" s="24" t="s">
        <v>0</v>
      </c>
      <c r="H48" s="87">
        <v>35.333333333333336</v>
      </c>
      <c r="I48" s="88">
        <v>35889.333333333336</v>
      </c>
      <c r="J48" s="6"/>
      <c r="K48" s="6"/>
      <c r="M48" s="96" t="s">
        <v>38</v>
      </c>
      <c r="N48" s="84">
        <v>1.8007142857142855</v>
      </c>
    </row>
    <row r="49" spans="1:15" x14ac:dyDescent="0.2">
      <c r="A49" s="6"/>
      <c r="B49" s="24" t="s">
        <v>5</v>
      </c>
      <c r="C49" s="87">
        <v>7</v>
      </c>
      <c r="D49" s="88">
        <v>6</v>
      </c>
      <c r="E49" s="6"/>
      <c r="G49" s="24" t="s">
        <v>5</v>
      </c>
      <c r="H49" s="87">
        <v>7</v>
      </c>
      <c r="I49" s="88">
        <v>49519</v>
      </c>
      <c r="J49" s="6"/>
      <c r="K49" s="6"/>
      <c r="M49" s="97" t="s">
        <v>42</v>
      </c>
      <c r="N49" s="84">
        <v>1.4114285714285713</v>
      </c>
    </row>
    <row r="50" spans="1:15" x14ac:dyDescent="0.2">
      <c r="A50" s="6"/>
      <c r="B50" s="24" t="s">
        <v>12</v>
      </c>
      <c r="C50" s="87">
        <v>6.333333333333333</v>
      </c>
      <c r="D50" s="88">
        <v>-6</v>
      </c>
      <c r="E50" s="6"/>
      <c r="G50" s="24" t="s">
        <v>12</v>
      </c>
      <c r="H50" s="87">
        <v>6.333333333333333</v>
      </c>
      <c r="I50" s="88">
        <v>34590.666666666664</v>
      </c>
      <c r="J50" s="6"/>
      <c r="K50" s="6"/>
      <c r="M50" s="98" t="s">
        <v>46</v>
      </c>
      <c r="N50" s="85">
        <v>1.7750000000000001</v>
      </c>
    </row>
    <row r="51" spans="1:15" x14ac:dyDescent="0.2">
      <c r="A51" s="6"/>
      <c r="B51" s="24" t="s">
        <v>3</v>
      </c>
      <c r="C51" s="87">
        <v>14.666666666666666</v>
      </c>
      <c r="D51" s="88">
        <v>6.666666666666667</v>
      </c>
      <c r="E51" s="6"/>
      <c r="G51" s="24" t="s">
        <v>3</v>
      </c>
      <c r="H51" s="87">
        <v>14.666666666666666</v>
      </c>
      <c r="I51" s="88">
        <v>38776.666666666664</v>
      </c>
      <c r="J51" s="6"/>
      <c r="K51" s="6"/>
    </row>
    <row r="52" spans="1:15" x14ac:dyDescent="0.2">
      <c r="A52" s="6"/>
      <c r="B52" s="24" t="s">
        <v>9</v>
      </c>
      <c r="C52" s="87">
        <v>6</v>
      </c>
      <c r="D52" s="88">
        <v>-6.666666666666667</v>
      </c>
      <c r="E52" s="6"/>
      <c r="G52" s="24" t="s">
        <v>9</v>
      </c>
      <c r="H52" s="87">
        <v>6</v>
      </c>
      <c r="I52" s="88">
        <v>40511.666666666664</v>
      </c>
      <c r="J52" s="6"/>
      <c r="K52" s="6"/>
      <c r="M52" s="133" t="s">
        <v>150</v>
      </c>
    </row>
    <row r="53" spans="1:15" x14ac:dyDescent="0.2">
      <c r="B53" s="28" t="s">
        <v>6</v>
      </c>
      <c r="C53" s="89">
        <v>-0.33333333333333331</v>
      </c>
      <c r="D53" s="90">
        <v>-9.6666666666666661</v>
      </c>
      <c r="E53" s="6"/>
      <c r="G53" s="28" t="s">
        <v>6</v>
      </c>
      <c r="H53" s="89">
        <v>-0.33333333333333331</v>
      </c>
      <c r="I53" s="90">
        <v>20765.333333333332</v>
      </c>
      <c r="J53" s="6"/>
      <c r="K53" s="6"/>
    </row>
    <row r="54" spans="1:15" x14ac:dyDescent="0.2">
      <c r="B54" s="14"/>
      <c r="C54" s="6"/>
      <c r="D54" s="6"/>
      <c r="E54" s="6"/>
      <c r="J54" s="6"/>
      <c r="K54" s="6"/>
    </row>
    <row r="55" spans="1:15" x14ac:dyDescent="0.2">
      <c r="B55" s="133" t="s">
        <v>154</v>
      </c>
      <c r="C55" s="6"/>
      <c r="D55" s="6"/>
      <c r="E55" s="6"/>
      <c r="G55" s="133" t="s">
        <v>155</v>
      </c>
      <c r="J55" s="6"/>
      <c r="K55" s="6"/>
    </row>
    <row r="62" spans="1:15" x14ac:dyDescent="0.2">
      <c r="O62" s="86"/>
    </row>
    <row r="63" spans="1:15" x14ac:dyDescent="0.2">
      <c r="O63" s="86"/>
    </row>
  </sheetData>
  <mergeCells count="3">
    <mergeCell ref="B4:D4"/>
    <mergeCell ref="F4:H4"/>
    <mergeCell ref="J4:L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40AA-B916-814F-B261-57599C5CCFA1}">
  <sheetPr codeName="Sheet5"/>
  <dimension ref="B2:R35"/>
  <sheetViews>
    <sheetView showGridLines="0" zoomScaleNormal="100" workbookViewId="0"/>
  </sheetViews>
  <sheetFormatPr baseColWidth="10" defaultRowHeight="16" x14ac:dyDescent="0.2"/>
  <cols>
    <col min="1" max="1" width="10.83203125" style="66"/>
    <col min="2" max="4" width="26.83203125" style="66" customWidth="1"/>
    <col min="5" max="5" width="14.83203125" style="66" customWidth="1"/>
    <col min="6" max="6" width="25.5" style="66" bestFit="1" customWidth="1"/>
    <col min="7" max="7" width="82.6640625" style="66" bestFit="1" customWidth="1"/>
    <col min="8" max="16384" width="10.83203125" style="66"/>
  </cols>
  <sheetData>
    <row r="2" spans="2:18" x14ac:dyDescent="0.2">
      <c r="B2" s="103" t="s">
        <v>81</v>
      </c>
      <c r="F2" s="110" t="s">
        <v>90</v>
      </c>
    </row>
    <row r="3" spans="2:18" x14ac:dyDescent="0.2">
      <c r="B3" s="133" t="s">
        <v>156</v>
      </c>
      <c r="I3" s="6"/>
      <c r="J3" s="6"/>
      <c r="K3" s="6"/>
      <c r="L3" s="6"/>
      <c r="M3" s="6"/>
      <c r="N3" s="6"/>
      <c r="O3" s="6"/>
      <c r="P3" s="6"/>
      <c r="Q3" s="6"/>
      <c r="R3" s="6"/>
    </row>
    <row r="4" spans="2:18" x14ac:dyDescent="0.2">
      <c r="B4" s="99" t="s">
        <v>82</v>
      </c>
      <c r="C4" s="100" t="s">
        <v>79</v>
      </c>
      <c r="D4" s="101" t="s">
        <v>93</v>
      </c>
      <c r="F4" s="123" t="s">
        <v>157</v>
      </c>
      <c r="I4" s="6"/>
      <c r="J4" s="15"/>
      <c r="K4" s="15"/>
      <c r="L4" s="15"/>
      <c r="M4" s="15"/>
      <c r="N4" s="15"/>
      <c r="O4" s="15"/>
      <c r="P4" s="6"/>
      <c r="Q4" s="6"/>
      <c r="R4" s="6"/>
    </row>
    <row r="5" spans="2:18" x14ac:dyDescent="0.2">
      <c r="B5" s="96" t="s">
        <v>38</v>
      </c>
      <c r="C5" s="104">
        <f>AVERAGE('Clean Data'!G6:G19)</f>
        <v>1.8007142857142855</v>
      </c>
      <c r="D5" s="105">
        <f>C5-$C$5</f>
        <v>0</v>
      </c>
      <c r="F5" s="108" t="s">
        <v>83</v>
      </c>
      <c r="G5" s="109" t="s">
        <v>84</v>
      </c>
      <c r="I5" s="6"/>
      <c r="J5" s="6"/>
      <c r="K5" s="112"/>
      <c r="L5" s="32"/>
      <c r="M5" s="113"/>
      <c r="N5" s="114"/>
      <c r="O5" s="102"/>
      <c r="P5" s="6"/>
      <c r="Q5" s="6"/>
      <c r="R5" s="6"/>
    </row>
    <row r="6" spans="2:18" x14ac:dyDescent="0.2">
      <c r="B6" s="96" t="s">
        <v>42</v>
      </c>
      <c r="C6" s="104">
        <f>AVERAGE('Clean Data'!O6:O19)</f>
        <v>1.4114285714285713</v>
      </c>
      <c r="D6" s="105">
        <f>C6-$C$5</f>
        <v>-0.38928571428571423</v>
      </c>
      <c r="F6" s="67" t="s">
        <v>85</v>
      </c>
      <c r="G6" s="68" t="s">
        <v>97</v>
      </c>
      <c r="I6" s="6"/>
      <c r="J6" s="6"/>
      <c r="K6" s="14"/>
      <c r="L6" s="32"/>
      <c r="M6" s="113"/>
      <c r="N6" s="113"/>
      <c r="O6" s="102"/>
      <c r="P6" s="6"/>
      <c r="Q6" s="6"/>
      <c r="R6" s="6"/>
    </row>
    <row r="7" spans="2:18" x14ac:dyDescent="0.2">
      <c r="B7" s="98" t="s">
        <v>46</v>
      </c>
      <c r="C7" s="106">
        <f>AVERAGE('Clean Data'!W6:W19)</f>
        <v>1.7750000000000001</v>
      </c>
      <c r="D7" s="111">
        <f>C7-$C$5</f>
        <v>-2.5714285714285356E-2</v>
      </c>
      <c r="F7" s="67" t="s">
        <v>94</v>
      </c>
      <c r="G7" s="68" t="s">
        <v>98</v>
      </c>
      <c r="I7" s="6"/>
      <c r="J7" s="6"/>
      <c r="K7" s="14"/>
      <c r="L7" s="32"/>
      <c r="M7" s="113"/>
      <c r="N7" s="113"/>
      <c r="O7" s="102"/>
      <c r="P7" s="6"/>
      <c r="Q7" s="6"/>
      <c r="R7" s="6"/>
    </row>
    <row r="8" spans="2:18" x14ac:dyDescent="0.2">
      <c r="F8" s="67" t="s">
        <v>95</v>
      </c>
      <c r="G8" s="68" t="s">
        <v>99</v>
      </c>
      <c r="I8" s="6"/>
      <c r="J8" s="6"/>
      <c r="K8" s="6"/>
      <c r="L8" s="6"/>
      <c r="M8" s="6"/>
      <c r="N8" s="6"/>
      <c r="O8" s="6"/>
      <c r="P8" s="6"/>
      <c r="Q8" s="6"/>
      <c r="R8" s="6"/>
    </row>
    <row r="9" spans="2:18" x14ac:dyDescent="0.2">
      <c r="F9" s="67" t="s">
        <v>86</v>
      </c>
      <c r="G9" s="68" t="s">
        <v>87</v>
      </c>
      <c r="I9" s="6"/>
      <c r="J9" s="6"/>
      <c r="K9" s="6"/>
      <c r="L9" s="6"/>
      <c r="M9" s="6"/>
      <c r="N9" s="6"/>
      <c r="O9" s="6"/>
      <c r="P9" s="6"/>
      <c r="Q9" s="6"/>
      <c r="R9" s="6"/>
    </row>
    <row r="10" spans="2:18" x14ac:dyDescent="0.2">
      <c r="F10" s="69" t="s">
        <v>96</v>
      </c>
      <c r="G10" s="70" t="s">
        <v>100</v>
      </c>
      <c r="I10" s="6"/>
      <c r="J10" s="6"/>
      <c r="K10" s="6"/>
      <c r="L10" s="6"/>
      <c r="M10" s="6"/>
      <c r="N10" s="6"/>
      <c r="O10" s="6"/>
      <c r="P10" s="6"/>
      <c r="Q10" s="6"/>
      <c r="R10" s="6"/>
    </row>
    <row r="11" spans="2:18" x14ac:dyDescent="0.2">
      <c r="I11" s="6"/>
      <c r="J11" s="6"/>
      <c r="K11" s="6"/>
      <c r="L11" s="6"/>
      <c r="M11" s="6"/>
      <c r="N11" s="6"/>
      <c r="O11" s="6"/>
      <c r="P11" s="6"/>
      <c r="Q11" s="6"/>
      <c r="R11" s="6"/>
    </row>
    <row r="12" spans="2:18" x14ac:dyDescent="0.2">
      <c r="I12" s="6"/>
      <c r="J12" s="6"/>
      <c r="K12" s="6"/>
      <c r="L12" s="6"/>
      <c r="M12" s="6"/>
      <c r="N12" s="6"/>
      <c r="O12" s="6"/>
      <c r="P12" s="6"/>
      <c r="Q12" s="6"/>
      <c r="R12" s="6"/>
    </row>
    <row r="13" spans="2:18" x14ac:dyDescent="0.2">
      <c r="I13" s="6"/>
      <c r="J13" s="6"/>
      <c r="K13" s="6"/>
      <c r="L13" s="6"/>
      <c r="M13" s="6"/>
      <c r="N13" s="6"/>
      <c r="O13" s="6"/>
      <c r="P13" s="6"/>
      <c r="Q13" s="6"/>
      <c r="R13" s="6"/>
    </row>
    <row r="14" spans="2:18" x14ac:dyDescent="0.2">
      <c r="I14" s="6"/>
      <c r="J14" s="6"/>
      <c r="K14" s="6"/>
      <c r="L14" s="6"/>
      <c r="M14" s="6"/>
      <c r="N14" s="6"/>
      <c r="O14" s="6"/>
      <c r="P14" s="6"/>
      <c r="Q14" s="6"/>
      <c r="R14" s="6"/>
    </row>
    <row r="15" spans="2:18" x14ac:dyDescent="0.2">
      <c r="I15" s="6"/>
      <c r="J15" s="6"/>
      <c r="K15" s="6"/>
      <c r="L15" s="6"/>
      <c r="M15" s="6"/>
      <c r="N15" s="6"/>
      <c r="O15" s="6"/>
      <c r="P15" s="6"/>
      <c r="Q15" s="6"/>
      <c r="R15" s="6"/>
    </row>
    <row r="16" spans="2:18" x14ac:dyDescent="0.2">
      <c r="I16" s="6"/>
      <c r="J16" s="6"/>
      <c r="K16" s="6"/>
      <c r="L16" s="6"/>
      <c r="M16" s="6"/>
      <c r="N16" s="6"/>
      <c r="O16" s="6"/>
      <c r="P16" s="6"/>
      <c r="Q16" s="6"/>
      <c r="R16" s="6"/>
    </row>
    <row r="17" spans="5:18" x14ac:dyDescent="0.2">
      <c r="I17" s="6"/>
      <c r="J17" s="6"/>
      <c r="K17" s="6"/>
      <c r="L17" s="6"/>
      <c r="M17" s="6"/>
      <c r="N17" s="6"/>
      <c r="O17" s="6"/>
      <c r="P17" s="6"/>
      <c r="Q17" s="6"/>
      <c r="R17" s="6"/>
    </row>
    <row r="18" spans="5:18" x14ac:dyDescent="0.2">
      <c r="I18" s="6"/>
      <c r="J18" s="6"/>
      <c r="K18" s="6"/>
      <c r="L18" s="6"/>
      <c r="M18" s="6"/>
      <c r="N18" s="6"/>
      <c r="O18" s="6"/>
      <c r="P18" s="6"/>
      <c r="Q18" s="6"/>
      <c r="R18" s="6"/>
    </row>
    <row r="19" spans="5:18" x14ac:dyDescent="0.2">
      <c r="I19" s="6"/>
      <c r="J19" s="6"/>
      <c r="K19" s="6"/>
      <c r="L19" s="6"/>
      <c r="M19" s="6"/>
      <c r="N19" s="6"/>
      <c r="O19" s="6"/>
      <c r="P19" s="6"/>
      <c r="Q19" s="6"/>
      <c r="R19" s="6"/>
    </row>
    <row r="20" spans="5:18" x14ac:dyDescent="0.2">
      <c r="I20" s="6"/>
      <c r="J20" s="29"/>
      <c r="K20" s="6"/>
      <c r="L20" s="6"/>
      <c r="M20" s="6"/>
      <c r="N20" s="6"/>
      <c r="O20" s="6"/>
      <c r="P20" s="6"/>
      <c r="Q20" s="6"/>
      <c r="R20" s="6"/>
    </row>
    <row r="21" spans="5:18" x14ac:dyDescent="0.2">
      <c r="E21" s="107"/>
      <c r="F21" s="107"/>
      <c r="G21" s="107"/>
      <c r="I21" s="6"/>
      <c r="J21" s="6"/>
      <c r="K21" s="6"/>
      <c r="L21" s="6"/>
      <c r="M21" s="6"/>
      <c r="N21" s="6"/>
      <c r="O21" s="6"/>
      <c r="P21" s="6"/>
      <c r="Q21" s="6"/>
      <c r="R21" s="6"/>
    </row>
    <row r="22" spans="5:18" x14ac:dyDescent="0.2">
      <c r="I22" s="6"/>
      <c r="J22" s="15"/>
      <c r="K22" s="15"/>
      <c r="L22" s="15"/>
      <c r="M22" s="15"/>
      <c r="N22" s="15"/>
      <c r="O22" s="15"/>
      <c r="P22" s="6"/>
      <c r="Q22" s="6"/>
      <c r="R22" s="6"/>
    </row>
    <row r="23" spans="5:18" x14ac:dyDescent="0.2">
      <c r="I23" s="6"/>
      <c r="J23" s="6"/>
      <c r="K23" s="115"/>
      <c r="L23" s="116"/>
      <c r="M23" s="117"/>
      <c r="N23" s="118"/>
      <c r="O23" s="102"/>
      <c r="P23" s="6"/>
      <c r="Q23" s="6"/>
      <c r="R23" s="6"/>
    </row>
    <row r="24" spans="5:18" x14ac:dyDescent="0.2">
      <c r="I24" s="6"/>
      <c r="J24" s="6"/>
      <c r="K24" s="119"/>
      <c r="L24" s="116"/>
      <c r="M24" s="117"/>
      <c r="N24" s="117"/>
      <c r="O24" s="102"/>
      <c r="P24" s="6"/>
      <c r="Q24" s="6"/>
      <c r="R24" s="6"/>
    </row>
    <row r="25" spans="5:18" x14ac:dyDescent="0.2">
      <c r="I25" s="6"/>
      <c r="J25" s="6"/>
      <c r="K25" s="119"/>
      <c r="L25" s="116"/>
      <c r="M25" s="117"/>
      <c r="N25" s="117"/>
      <c r="O25" s="102"/>
      <c r="P25" s="6"/>
      <c r="Q25" s="6"/>
      <c r="R25" s="6"/>
    </row>
    <row r="26" spans="5:18" x14ac:dyDescent="0.2">
      <c r="I26" s="6"/>
      <c r="J26" s="6"/>
      <c r="K26" s="6"/>
      <c r="L26" s="6"/>
      <c r="M26" s="6"/>
      <c r="N26" s="6"/>
      <c r="O26" s="6"/>
      <c r="P26" s="6"/>
      <c r="Q26" s="6"/>
      <c r="R26" s="6"/>
    </row>
    <row r="27" spans="5:18" x14ac:dyDescent="0.2">
      <c r="I27" s="6"/>
      <c r="J27" s="6"/>
      <c r="K27" s="6"/>
      <c r="L27" s="6"/>
      <c r="M27" s="6"/>
      <c r="N27" s="6"/>
      <c r="O27" s="6"/>
      <c r="P27" s="6"/>
      <c r="Q27" s="6"/>
      <c r="R27" s="6"/>
    </row>
    <row r="28" spans="5:18" x14ac:dyDescent="0.2">
      <c r="I28" s="6"/>
      <c r="J28" s="6"/>
      <c r="K28" s="6"/>
      <c r="L28" s="6"/>
      <c r="M28" s="6"/>
      <c r="N28" s="6"/>
      <c r="O28" s="6"/>
      <c r="P28" s="6"/>
      <c r="Q28" s="6"/>
      <c r="R28" s="6"/>
    </row>
    <row r="29" spans="5:18" x14ac:dyDescent="0.2">
      <c r="I29" s="6"/>
      <c r="J29" s="6"/>
      <c r="K29" s="6"/>
      <c r="L29" s="6"/>
      <c r="M29" s="6"/>
      <c r="N29" s="6"/>
      <c r="O29" s="6"/>
      <c r="P29" s="6"/>
      <c r="Q29" s="6"/>
      <c r="R29" s="6"/>
    </row>
    <row r="30" spans="5:18" x14ac:dyDescent="0.2">
      <c r="I30" s="6"/>
      <c r="J30" s="6"/>
      <c r="K30" s="6"/>
      <c r="L30" s="6"/>
      <c r="M30" s="6"/>
      <c r="N30" s="6"/>
      <c r="O30" s="6"/>
      <c r="P30" s="6"/>
      <c r="Q30" s="6"/>
      <c r="R30" s="6"/>
    </row>
    <row r="31" spans="5:18" x14ac:dyDescent="0.2">
      <c r="I31" s="6"/>
      <c r="J31" s="6"/>
      <c r="K31" s="6"/>
      <c r="L31" s="6"/>
      <c r="M31" s="6"/>
      <c r="N31" s="6"/>
      <c r="O31" s="6"/>
      <c r="P31" s="6"/>
      <c r="Q31" s="6"/>
      <c r="R31" s="6"/>
    </row>
    <row r="32" spans="5:18" x14ac:dyDescent="0.2">
      <c r="I32" s="6"/>
      <c r="J32" s="6"/>
      <c r="K32" s="6"/>
      <c r="L32" s="6"/>
      <c r="M32" s="6"/>
      <c r="N32" s="6"/>
      <c r="O32" s="6"/>
      <c r="P32" s="6"/>
      <c r="Q32" s="6"/>
      <c r="R32" s="6"/>
    </row>
    <row r="33" spans="3:18" x14ac:dyDescent="0.2">
      <c r="I33" s="6"/>
      <c r="J33" s="6"/>
      <c r="K33" s="6"/>
      <c r="L33" s="6"/>
      <c r="M33" s="6"/>
      <c r="N33" s="6"/>
      <c r="O33" s="6"/>
      <c r="P33" s="6"/>
      <c r="Q33" s="6"/>
      <c r="R33" s="6"/>
    </row>
    <row r="35" spans="3:18" x14ac:dyDescent="0.2">
      <c r="C35" s="66"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7020-B9A1-E040-9031-BCAD1D549624}">
  <dimension ref="B1:R62"/>
  <sheetViews>
    <sheetView showGridLines="0" zoomScaleNormal="100" workbookViewId="0"/>
  </sheetViews>
  <sheetFormatPr baseColWidth="10" defaultRowHeight="16" x14ac:dyDescent="0.2"/>
  <cols>
    <col min="1" max="1" width="10.83203125" style="135"/>
    <col min="2" max="2" width="18.1640625" style="135" bestFit="1" customWidth="1"/>
    <col min="3" max="3" width="12.1640625" style="135" bestFit="1" customWidth="1"/>
    <col min="4" max="4" width="19.5" style="135" bestFit="1" customWidth="1"/>
    <col min="5" max="5" width="19.5" style="135" customWidth="1"/>
    <col min="6" max="6" width="20.5" style="135" bestFit="1" customWidth="1"/>
    <col min="7" max="7" width="34.1640625" style="135" bestFit="1" customWidth="1"/>
    <col min="8" max="8" width="17.83203125" style="135" bestFit="1" customWidth="1"/>
    <col min="9" max="9" width="10.83203125" style="136" customWidth="1"/>
    <col min="10" max="10" width="20" style="135" bestFit="1" customWidth="1"/>
    <col min="11" max="11" width="113.33203125" style="135" bestFit="1" customWidth="1"/>
    <col min="12" max="12" width="10.83203125" style="135"/>
    <col min="13" max="13" width="8.5" style="135" bestFit="1" customWidth="1"/>
    <col min="14" max="14" width="40" style="135" bestFit="1" customWidth="1"/>
    <col min="15" max="15" width="51.33203125" style="135" bestFit="1" customWidth="1"/>
    <col min="16" max="16" width="21.83203125" style="135" bestFit="1" customWidth="1"/>
    <col min="17" max="17" width="66.6640625" style="135" bestFit="1" customWidth="1"/>
    <col min="18" max="16384" width="10.83203125" style="135"/>
  </cols>
  <sheetData>
    <row r="1" spans="2:18" x14ac:dyDescent="0.2">
      <c r="B1" s="134" t="s">
        <v>158</v>
      </c>
    </row>
    <row r="2" spans="2:18" ht="17" x14ac:dyDescent="0.2">
      <c r="B2" s="137" t="s">
        <v>21</v>
      </c>
      <c r="C2" s="137" t="s">
        <v>101</v>
      </c>
      <c r="D2" s="137" t="s">
        <v>102</v>
      </c>
      <c r="E2" s="137" t="s">
        <v>52</v>
      </c>
      <c r="F2" s="137" t="s">
        <v>104</v>
      </c>
      <c r="G2" s="137" t="s">
        <v>103</v>
      </c>
      <c r="H2" s="137" t="s">
        <v>105</v>
      </c>
      <c r="I2" s="138"/>
      <c r="J2" s="134" t="s">
        <v>159</v>
      </c>
      <c r="L2" s="136"/>
      <c r="M2" s="134" t="s">
        <v>160</v>
      </c>
      <c r="N2" s="136"/>
      <c r="O2" s="136"/>
      <c r="P2" s="136"/>
      <c r="Q2" s="136"/>
    </row>
    <row r="3" spans="2:18" ht="17" x14ac:dyDescent="0.2">
      <c r="B3" s="139" t="s">
        <v>4</v>
      </c>
      <c r="C3" s="140" t="s">
        <v>38</v>
      </c>
      <c r="D3" s="139">
        <v>2.37</v>
      </c>
      <c r="E3" s="139">
        <v>30</v>
      </c>
      <c r="F3" s="139">
        <f>IF(C3="2020-21",1,0)</f>
        <v>0</v>
      </c>
      <c r="G3" s="141">
        <v>59899</v>
      </c>
      <c r="H3" s="139">
        <f>IF(COUNTIF($B$3:$B$62,B3)=3,1,0)</f>
        <v>1</v>
      </c>
      <c r="J3" s="61" t="s">
        <v>83</v>
      </c>
      <c r="K3" s="63" t="s">
        <v>84</v>
      </c>
      <c r="L3" s="136"/>
      <c r="M3" s="142"/>
      <c r="N3" s="143" t="s">
        <v>141</v>
      </c>
      <c r="O3" s="143" t="s">
        <v>89</v>
      </c>
      <c r="P3" s="143" t="s">
        <v>86</v>
      </c>
      <c r="Q3" s="144" t="s">
        <v>88</v>
      </c>
      <c r="R3" s="136"/>
    </row>
    <row r="4" spans="2:18" ht="17" x14ac:dyDescent="0.2">
      <c r="B4" s="139" t="s">
        <v>13</v>
      </c>
      <c r="C4" s="140" t="s">
        <v>38</v>
      </c>
      <c r="D4" s="139">
        <v>1.53</v>
      </c>
      <c r="E4" s="139">
        <v>24</v>
      </c>
      <c r="F4" s="139">
        <f>IF(C4="2020-21",1,0)</f>
        <v>0</v>
      </c>
      <c r="G4" s="141">
        <v>10532</v>
      </c>
      <c r="H4" s="139">
        <f>IF(COUNTIF($B$3:$B$62,B4)=3,1,0)</f>
        <v>0</v>
      </c>
      <c r="J4" s="146" t="s">
        <v>88</v>
      </c>
      <c r="K4" s="55" t="s">
        <v>91</v>
      </c>
      <c r="L4" s="136"/>
      <c r="M4" s="147" t="s">
        <v>138</v>
      </c>
      <c r="N4" s="148" t="s">
        <v>143</v>
      </c>
      <c r="O4" s="148" t="s">
        <v>146</v>
      </c>
      <c r="P4" s="148" t="s">
        <v>144</v>
      </c>
      <c r="Q4" s="149" t="s">
        <v>147</v>
      </c>
      <c r="R4" s="136"/>
    </row>
    <row r="5" spans="2:18" ht="17" x14ac:dyDescent="0.2">
      <c r="B5" s="139" t="s">
        <v>16</v>
      </c>
      <c r="C5" s="140" t="s">
        <v>38</v>
      </c>
      <c r="D5" s="139">
        <v>1.21</v>
      </c>
      <c r="E5" s="139">
        <v>7</v>
      </c>
      <c r="F5" s="139">
        <f>IF(C5="2020-21",1,0)</f>
        <v>0</v>
      </c>
      <c r="G5" s="141">
        <v>30426</v>
      </c>
      <c r="H5" s="139">
        <f>IF(COUNTIF($B$3:$B$62,B5)=3,1,0)</f>
        <v>1</v>
      </c>
      <c r="J5" s="146" t="s">
        <v>106</v>
      </c>
      <c r="K5" s="55" t="s">
        <v>112</v>
      </c>
      <c r="L5" s="136"/>
      <c r="M5" s="150" t="s">
        <v>139</v>
      </c>
      <c r="N5" s="151" t="s">
        <v>148</v>
      </c>
      <c r="O5" s="151" t="s">
        <v>142</v>
      </c>
      <c r="P5" s="151" t="s">
        <v>140</v>
      </c>
      <c r="Q5" s="152" t="s">
        <v>145</v>
      </c>
      <c r="R5" s="136"/>
    </row>
    <row r="6" spans="2:18" ht="17" x14ac:dyDescent="0.2">
      <c r="B6" s="139" t="s">
        <v>14</v>
      </c>
      <c r="C6" s="140" t="s">
        <v>38</v>
      </c>
      <c r="D6" s="139">
        <v>1.21</v>
      </c>
      <c r="E6" s="139">
        <v>7</v>
      </c>
      <c r="F6" s="139">
        <f>IF(C6="2020-21",1,0)</f>
        <v>0</v>
      </c>
      <c r="G6" s="141">
        <v>20534</v>
      </c>
      <c r="H6" s="139">
        <f>IF(COUNTIF($B$3:$B$62,B6)=3,1,0)</f>
        <v>1</v>
      </c>
      <c r="J6" s="146" t="s">
        <v>86</v>
      </c>
      <c r="K6" s="55" t="s">
        <v>107</v>
      </c>
      <c r="L6" s="136"/>
      <c r="R6" s="136"/>
    </row>
    <row r="7" spans="2:18" ht="17" x14ac:dyDescent="0.2">
      <c r="B7" s="139" t="s">
        <v>17</v>
      </c>
      <c r="C7" s="140" t="s">
        <v>38</v>
      </c>
      <c r="D7" s="139">
        <v>1.05</v>
      </c>
      <c r="E7" s="139">
        <v>1</v>
      </c>
      <c r="F7" s="139">
        <f>IF(C7="2020-21",1,0)</f>
        <v>0</v>
      </c>
      <c r="G7" s="141">
        <v>31408</v>
      </c>
      <c r="H7" s="139">
        <f>IF(COUNTIF($B$3:$B$62,B7)=3,1,0)</f>
        <v>0</v>
      </c>
      <c r="J7" s="146" t="s">
        <v>96</v>
      </c>
      <c r="K7" s="55" t="s">
        <v>113</v>
      </c>
      <c r="L7" s="136"/>
      <c r="R7" s="136"/>
    </row>
    <row r="8" spans="2:18" ht="17" x14ac:dyDescent="0.2">
      <c r="B8" s="139" t="s">
        <v>2</v>
      </c>
      <c r="C8" s="140" t="s">
        <v>38</v>
      </c>
      <c r="D8" s="139">
        <v>2.21</v>
      </c>
      <c r="E8" s="139">
        <v>30</v>
      </c>
      <c r="F8" s="139">
        <f>IF(C8="2020-21",1,0)</f>
        <v>0</v>
      </c>
      <c r="G8" s="141">
        <v>40437</v>
      </c>
      <c r="H8" s="139">
        <f>IF(COUNTIF($B$3:$B$62,B8)=3,1,0)</f>
        <v>1</v>
      </c>
      <c r="J8" s="146" t="s">
        <v>108</v>
      </c>
      <c r="K8" s="55" t="s">
        <v>109</v>
      </c>
      <c r="L8" s="136"/>
    </row>
    <row r="9" spans="2:18" ht="17" x14ac:dyDescent="0.2">
      <c r="B9" s="139" t="s">
        <v>11</v>
      </c>
      <c r="C9" s="140" t="s">
        <v>38</v>
      </c>
      <c r="D9" s="139">
        <v>1.05</v>
      </c>
      <c r="E9" s="139">
        <v>-6</v>
      </c>
      <c r="F9" s="139">
        <f>IF(C9="2020-21",1,0)</f>
        <v>0</v>
      </c>
      <c r="G9" s="141">
        <v>25455</v>
      </c>
      <c r="H9" s="139">
        <f>IF(COUNTIF($B$3:$B$62,B9)=3,1,0)</f>
        <v>1</v>
      </c>
      <c r="J9" s="153" t="s">
        <v>110</v>
      </c>
      <c r="K9" s="154" t="s">
        <v>111</v>
      </c>
      <c r="L9" s="155"/>
      <c r="M9" s="136"/>
      <c r="N9" s="136"/>
      <c r="O9" s="136"/>
    </row>
    <row r="10" spans="2:18" ht="17" x14ac:dyDescent="0.2">
      <c r="B10" s="139" t="s">
        <v>7</v>
      </c>
      <c r="C10" s="140" t="s">
        <v>38</v>
      </c>
      <c r="D10" s="139">
        <v>1.79</v>
      </c>
      <c r="E10" s="139">
        <v>10</v>
      </c>
      <c r="F10" s="139">
        <f>IF(C10="2020-21",1,0)</f>
        <v>0</v>
      </c>
      <c r="G10" s="141">
        <v>39043</v>
      </c>
      <c r="H10" s="139">
        <f>IF(COUNTIF($B$3:$B$62,B10)=3,1,0)</f>
        <v>1</v>
      </c>
      <c r="L10" s="156"/>
      <c r="M10" s="136"/>
      <c r="N10" s="136"/>
      <c r="O10" s="136"/>
    </row>
    <row r="11" spans="2:18" ht="17" x14ac:dyDescent="0.2">
      <c r="B11" s="139" t="s">
        <v>18</v>
      </c>
      <c r="C11" s="140" t="s">
        <v>38</v>
      </c>
      <c r="D11" s="139">
        <v>1.1100000000000001</v>
      </c>
      <c r="E11" s="139">
        <v>19</v>
      </c>
      <c r="F11" s="139">
        <f>IF(C11="2020-21",1,0)</f>
        <v>0</v>
      </c>
      <c r="G11" s="141">
        <v>24371</v>
      </c>
      <c r="H11" s="139">
        <f>IF(COUNTIF($B$3:$B$62,B11)=3,1,0)</f>
        <v>1</v>
      </c>
      <c r="L11" s="156"/>
      <c r="M11" s="136"/>
      <c r="N11" s="136"/>
      <c r="O11" s="136"/>
    </row>
    <row r="12" spans="2:18" ht="17" x14ac:dyDescent="0.2">
      <c r="B12" s="139" t="s">
        <v>19</v>
      </c>
      <c r="C12" s="140" t="s">
        <v>38</v>
      </c>
      <c r="D12" s="139">
        <v>0.47</v>
      </c>
      <c r="E12" s="139">
        <v>12</v>
      </c>
      <c r="F12" s="139">
        <f>IF(C12="2020-21",1,0)</f>
        <v>0</v>
      </c>
      <c r="G12" s="141">
        <v>23203</v>
      </c>
      <c r="H12" s="139">
        <f>IF(COUNTIF($B$3:$B$62,B12)=3,1,0)</f>
        <v>0</v>
      </c>
      <c r="J12" s="157"/>
      <c r="K12" s="157"/>
      <c r="L12" s="156"/>
      <c r="M12" s="136"/>
      <c r="N12" s="136"/>
      <c r="O12" s="136"/>
    </row>
    <row r="13" spans="2:18" ht="17" x14ac:dyDescent="0.2">
      <c r="B13" s="139" t="s">
        <v>8</v>
      </c>
      <c r="C13" s="140" t="s">
        <v>38</v>
      </c>
      <c r="D13" s="139">
        <v>1.42</v>
      </c>
      <c r="E13" s="139">
        <v>5</v>
      </c>
      <c r="F13" s="139">
        <f>IF(C13="2020-21",1,0)</f>
        <v>0</v>
      </c>
      <c r="G13" s="141">
        <v>31851</v>
      </c>
      <c r="H13" s="139">
        <f>IF(COUNTIF($B$3:$B$62,B13)=3,1,0)</f>
        <v>0</v>
      </c>
    </row>
    <row r="14" spans="2:18" ht="17" x14ac:dyDescent="0.2">
      <c r="B14" s="139" t="s">
        <v>1</v>
      </c>
      <c r="C14" s="140" t="s">
        <v>38</v>
      </c>
      <c r="D14" s="139">
        <v>2.79</v>
      </c>
      <c r="E14" s="139">
        <v>23</v>
      </c>
      <c r="F14" s="139">
        <f>IF(C14="2020-21",1,0)</f>
        <v>0</v>
      </c>
      <c r="G14" s="141">
        <v>52983</v>
      </c>
      <c r="H14" s="139">
        <f>IF(COUNTIF($B$3:$B$62,B14)=3,1,0)</f>
        <v>1</v>
      </c>
    </row>
    <row r="15" spans="2:18" ht="17" x14ac:dyDescent="0.2">
      <c r="B15" s="139" t="s">
        <v>0</v>
      </c>
      <c r="C15" s="140" t="s">
        <v>38</v>
      </c>
      <c r="D15" s="139">
        <v>2.84</v>
      </c>
      <c r="E15" s="139">
        <v>18</v>
      </c>
      <c r="F15" s="139">
        <f>IF(C15="2020-21",1,0)</f>
        <v>0</v>
      </c>
      <c r="G15" s="141">
        <v>54130</v>
      </c>
      <c r="H15" s="139">
        <f>IF(COUNTIF($B$3:$B$62,B15)=3,1,0)</f>
        <v>1</v>
      </c>
    </row>
    <row r="16" spans="2:18" ht="17" x14ac:dyDescent="0.2">
      <c r="B16" s="139" t="s">
        <v>5</v>
      </c>
      <c r="C16" s="140" t="s">
        <v>38</v>
      </c>
      <c r="D16" s="139">
        <v>1.89</v>
      </c>
      <c r="E16" s="139">
        <v>5</v>
      </c>
      <c r="F16" s="139">
        <f>IF(C16="2020-21",1,0)</f>
        <v>0</v>
      </c>
      <c r="G16" s="141">
        <v>74498</v>
      </c>
      <c r="H16" s="139">
        <f>IF(COUNTIF($B$3:$B$62,B16)=3,1,0)</f>
        <v>1</v>
      </c>
    </row>
    <row r="17" spans="2:15" ht="17" x14ac:dyDescent="0.2">
      <c r="B17" s="139" t="s">
        <v>12</v>
      </c>
      <c r="C17" s="140" t="s">
        <v>38</v>
      </c>
      <c r="D17" s="139">
        <v>1.32</v>
      </c>
      <c r="E17" s="139">
        <v>4</v>
      </c>
      <c r="F17" s="139">
        <f>IF(C17="2020-21",1,0)</f>
        <v>0</v>
      </c>
      <c r="G17" s="141">
        <v>51121</v>
      </c>
      <c r="H17" s="139">
        <f>IF(COUNTIF($B$3:$B$62,B17)=3,1,0)</f>
        <v>1</v>
      </c>
    </row>
    <row r="18" spans="2:15" ht="17" x14ac:dyDescent="0.2">
      <c r="B18" s="139" t="s">
        <v>15</v>
      </c>
      <c r="C18" s="140" t="s">
        <v>38</v>
      </c>
      <c r="D18" s="139">
        <v>1.21</v>
      </c>
      <c r="E18" s="139">
        <v>14</v>
      </c>
      <c r="F18" s="139">
        <f>IF(C18="2020-21",1,0)</f>
        <v>0</v>
      </c>
      <c r="G18" s="141">
        <v>30139</v>
      </c>
      <c r="H18" s="139">
        <f>IF(COUNTIF($B$3:$B$62,B18)=3,1,0)</f>
        <v>0</v>
      </c>
      <c r="J18" s="136"/>
      <c r="K18" s="136"/>
      <c r="L18" s="136"/>
      <c r="M18" s="136"/>
      <c r="N18" s="136"/>
      <c r="O18" s="136"/>
    </row>
    <row r="19" spans="2:15" ht="17" x14ac:dyDescent="0.2">
      <c r="B19" s="139" t="s">
        <v>3</v>
      </c>
      <c r="C19" s="140" t="s">
        <v>38</v>
      </c>
      <c r="D19" s="139">
        <v>2</v>
      </c>
      <c r="E19" s="139">
        <v>8</v>
      </c>
      <c r="F19" s="139">
        <f>IF(C19="2020-21",1,0)</f>
        <v>0</v>
      </c>
      <c r="G19" s="141">
        <v>54216</v>
      </c>
      <c r="H19" s="139">
        <f>IF(COUNTIF($B$3:$B$62,B19)=3,1,0)</f>
        <v>1</v>
      </c>
      <c r="J19" s="136"/>
      <c r="K19" s="136"/>
      <c r="L19" s="136"/>
      <c r="M19" s="136"/>
      <c r="N19" s="136"/>
      <c r="O19" s="136"/>
    </row>
    <row r="20" spans="2:15" ht="17" x14ac:dyDescent="0.2">
      <c r="B20" s="139" t="s">
        <v>10</v>
      </c>
      <c r="C20" s="140" t="s">
        <v>38</v>
      </c>
      <c r="D20" s="139">
        <v>1.42</v>
      </c>
      <c r="E20" s="139">
        <v>3</v>
      </c>
      <c r="F20" s="139">
        <f>IF(C20="2020-21",1,0)</f>
        <v>0</v>
      </c>
      <c r="G20" s="141">
        <v>20016</v>
      </c>
      <c r="H20" s="139">
        <f>IF(COUNTIF($B$3:$B$62,B20)=3,1,0)</f>
        <v>0</v>
      </c>
      <c r="J20" s="136"/>
      <c r="K20" s="136"/>
      <c r="L20" s="136"/>
      <c r="M20" s="136"/>
      <c r="N20" s="136"/>
      <c r="O20" s="136"/>
    </row>
    <row r="21" spans="2:15" ht="17" x14ac:dyDescent="0.2">
      <c r="B21" s="139" t="s">
        <v>9</v>
      </c>
      <c r="C21" s="140" t="s">
        <v>38</v>
      </c>
      <c r="D21" s="139">
        <v>1.63</v>
      </c>
      <c r="E21" s="139">
        <v>13</v>
      </c>
      <c r="F21" s="139">
        <f>IF(C21="2020-21",1,0)</f>
        <v>0</v>
      </c>
      <c r="G21" s="141">
        <v>58336</v>
      </c>
      <c r="H21" s="139">
        <f>IF(COUNTIF($B$3:$B$62,B21)=3,1,0)</f>
        <v>1</v>
      </c>
    </row>
    <row r="22" spans="2:15" ht="17" x14ac:dyDescent="0.2">
      <c r="B22" s="139" t="s">
        <v>6</v>
      </c>
      <c r="C22" s="140" t="s">
        <v>38</v>
      </c>
      <c r="D22" s="139">
        <v>1.79</v>
      </c>
      <c r="E22" s="139">
        <v>13</v>
      </c>
      <c r="F22" s="139">
        <f>IF(C22="2020-21",1,0)</f>
        <v>0</v>
      </c>
      <c r="G22" s="141">
        <v>31030</v>
      </c>
      <c r="H22" s="139">
        <f>IF(COUNTIF($B$3:$B$62,B22)=3,1,0)</f>
        <v>1</v>
      </c>
    </row>
    <row r="23" spans="2:15" ht="17" x14ac:dyDescent="0.2">
      <c r="B23" s="139" t="s">
        <v>4</v>
      </c>
      <c r="C23" s="145" t="s">
        <v>42</v>
      </c>
      <c r="D23" s="139">
        <v>1.47</v>
      </c>
      <c r="E23" s="139">
        <v>-10</v>
      </c>
      <c r="F23" s="139">
        <f>IF(C23="2020-21",1,0)</f>
        <v>1</v>
      </c>
      <c r="G23" s="139">
        <v>632</v>
      </c>
      <c r="H23" s="139">
        <f>IF(COUNTIF($B$3:$B$62,B23)=3,1,0)</f>
        <v>1</v>
      </c>
    </row>
    <row r="24" spans="2:15" ht="17" x14ac:dyDescent="0.2">
      <c r="B24" s="139" t="s">
        <v>40</v>
      </c>
      <c r="C24" s="145" t="s">
        <v>42</v>
      </c>
      <c r="D24" s="139">
        <v>1.32</v>
      </c>
      <c r="E24" s="139">
        <v>-5</v>
      </c>
      <c r="F24" s="139">
        <f>IF(C24="2020-21",1,0)</f>
        <v>1</v>
      </c>
      <c r="G24" s="139">
        <v>526</v>
      </c>
      <c r="H24" s="139">
        <f>IF(COUNTIF($B$3:$B$62,B24)=3,1,0)</f>
        <v>0</v>
      </c>
    </row>
    <row r="25" spans="2:15" ht="17" x14ac:dyDescent="0.2">
      <c r="B25" s="139" t="s">
        <v>16</v>
      </c>
      <c r="C25" s="145" t="s">
        <v>42</v>
      </c>
      <c r="D25" s="139">
        <v>1.1100000000000001</v>
      </c>
      <c r="E25" s="139">
        <v>6</v>
      </c>
      <c r="F25" s="139">
        <f>IF(C25="2020-21",1,0)</f>
        <v>1</v>
      </c>
      <c r="G25" s="139">
        <v>523</v>
      </c>
      <c r="H25" s="139">
        <f>IF(COUNTIF($B$3:$B$62,B25)=3,1,0)</f>
        <v>1</v>
      </c>
    </row>
    <row r="26" spans="2:15" ht="17" x14ac:dyDescent="0.2">
      <c r="B26" s="139" t="s">
        <v>14</v>
      </c>
      <c r="C26" s="145" t="s">
        <v>42</v>
      </c>
      <c r="D26" s="139">
        <v>0.95</v>
      </c>
      <c r="E26" s="139">
        <v>-4</v>
      </c>
      <c r="F26" s="139">
        <f>IF(C26="2020-21",1,0)</f>
        <v>1</v>
      </c>
      <c r="G26" s="139">
        <v>178</v>
      </c>
      <c r="H26" s="139">
        <f>IF(COUNTIF($B$3:$B$62,B26)=3,1,0)</f>
        <v>1</v>
      </c>
    </row>
    <row r="27" spans="2:15" ht="17" x14ac:dyDescent="0.2">
      <c r="B27" s="139" t="s">
        <v>2</v>
      </c>
      <c r="C27" s="145" t="s">
        <v>42</v>
      </c>
      <c r="D27" s="139">
        <v>1.74</v>
      </c>
      <c r="E27" s="139">
        <v>4</v>
      </c>
      <c r="F27" s="139">
        <f>IF(C27="2020-21",1,0)</f>
        <v>1</v>
      </c>
      <c r="G27" s="139">
        <v>526</v>
      </c>
      <c r="H27" s="139">
        <f>IF(COUNTIF($B$3:$B$62,B27)=3,1,0)</f>
        <v>1</v>
      </c>
    </row>
    <row r="28" spans="2:15" ht="17" x14ac:dyDescent="0.2">
      <c r="B28" s="139" t="s">
        <v>11</v>
      </c>
      <c r="C28" s="145" t="s">
        <v>42</v>
      </c>
      <c r="D28" s="139">
        <v>1.21</v>
      </c>
      <c r="E28" s="139">
        <v>1</v>
      </c>
      <c r="F28" s="139">
        <f>IF(C28="2020-21",1,0)</f>
        <v>1</v>
      </c>
      <c r="G28" s="139">
        <v>447</v>
      </c>
      <c r="H28" s="139">
        <f>IF(COUNTIF($B$3:$B$62,B28)=3,1,0)</f>
        <v>1</v>
      </c>
    </row>
    <row r="29" spans="2:15" ht="17" x14ac:dyDescent="0.2">
      <c r="B29" s="139" t="s">
        <v>7</v>
      </c>
      <c r="C29" s="145" t="s">
        <v>42</v>
      </c>
      <c r="D29" s="139">
        <v>1.1599999999999999</v>
      </c>
      <c r="E29" s="139">
        <v>-7</v>
      </c>
      <c r="F29" s="139">
        <f>IF(C29="2020-21",1,0)</f>
        <v>1</v>
      </c>
      <c r="G29" s="139">
        <v>368</v>
      </c>
      <c r="H29" s="139">
        <f>IF(COUNTIF($B$3:$B$62,B29)=3,1,0)</f>
        <v>1</v>
      </c>
    </row>
    <row r="30" spans="2:15" ht="17" x14ac:dyDescent="0.2">
      <c r="B30" s="139" t="s">
        <v>18</v>
      </c>
      <c r="C30" s="145" t="s">
        <v>42</v>
      </c>
      <c r="D30" s="139">
        <v>0.53</v>
      </c>
      <c r="E30" s="139">
        <v>-12</v>
      </c>
      <c r="F30" s="139">
        <f>IF(C30="2020-21",1,0)</f>
        <v>1</v>
      </c>
      <c r="G30" s="139">
        <v>211</v>
      </c>
      <c r="H30" s="139">
        <f>IF(COUNTIF($B$3:$B$62,B30)=3,1,0)</f>
        <v>1</v>
      </c>
    </row>
    <row r="31" spans="2:15" ht="17" x14ac:dyDescent="0.2">
      <c r="B31" s="139" t="s">
        <v>43</v>
      </c>
      <c r="C31" s="145" t="s">
        <v>42</v>
      </c>
      <c r="D31" s="139">
        <v>1.53</v>
      </c>
      <c r="E31" s="139">
        <v>6</v>
      </c>
      <c r="F31" s="139">
        <f>IF(C31="2020-21",1,0)</f>
        <v>1</v>
      </c>
      <c r="G31" s="139">
        <v>421</v>
      </c>
      <c r="H31" s="139">
        <f>IF(COUNTIF($B$3:$B$62,B31)=3,1,0)</f>
        <v>0</v>
      </c>
    </row>
    <row r="32" spans="2:15" ht="17" x14ac:dyDescent="0.2">
      <c r="B32" s="139" t="s">
        <v>8</v>
      </c>
      <c r="C32" s="145" t="s">
        <v>42</v>
      </c>
      <c r="D32" s="139">
        <v>1.47</v>
      </c>
      <c r="E32" s="139">
        <v>-10</v>
      </c>
      <c r="F32" s="139">
        <f>IF(C32="2020-21",1,0)</f>
        <v>1</v>
      </c>
      <c r="G32" s="139">
        <v>421</v>
      </c>
      <c r="H32" s="139">
        <f>IF(COUNTIF($B$3:$B$62,B32)=3,1,0)</f>
        <v>0</v>
      </c>
    </row>
    <row r="33" spans="2:8" ht="17" x14ac:dyDescent="0.2">
      <c r="B33" s="139" t="s">
        <v>1</v>
      </c>
      <c r="C33" s="145" t="s">
        <v>42</v>
      </c>
      <c r="D33" s="139">
        <v>1.74</v>
      </c>
      <c r="E33" s="139">
        <v>-8</v>
      </c>
      <c r="F33" s="139">
        <f>IF(C33="2020-21",1,0)</f>
        <v>1</v>
      </c>
      <c r="G33" s="139">
        <v>837</v>
      </c>
      <c r="H33" s="139">
        <f>IF(COUNTIF($B$3:$B$62,B33)=3,1,0)</f>
        <v>1</v>
      </c>
    </row>
    <row r="34" spans="2:8" ht="17" x14ac:dyDescent="0.2">
      <c r="B34" s="139" t="s">
        <v>0</v>
      </c>
      <c r="C34" s="145" t="s">
        <v>42</v>
      </c>
      <c r="D34" s="139">
        <v>2.16</v>
      </c>
      <c r="E34" s="139">
        <v>1</v>
      </c>
      <c r="F34" s="139">
        <f>IF(C34="2020-21",1,0)</f>
        <v>1</v>
      </c>
      <c r="G34" s="139">
        <v>526</v>
      </c>
      <c r="H34" s="139">
        <f>IF(COUNTIF($B$3:$B$62,B34)=3,1,0)</f>
        <v>1</v>
      </c>
    </row>
    <row r="35" spans="2:8" ht="17" x14ac:dyDescent="0.2">
      <c r="B35" s="139" t="s">
        <v>5</v>
      </c>
      <c r="C35" s="145" t="s">
        <v>42</v>
      </c>
      <c r="D35" s="139">
        <v>1.63</v>
      </c>
      <c r="E35" s="139">
        <v>-9</v>
      </c>
      <c r="F35" s="139">
        <f>IF(C35="2020-21",1,0)</f>
        <v>1</v>
      </c>
      <c r="G35" s="139">
        <v>526</v>
      </c>
      <c r="H35" s="139">
        <f>IF(COUNTIF($B$3:$B$62,B35)=3,1,0)</f>
        <v>1</v>
      </c>
    </row>
    <row r="36" spans="2:8" ht="17" x14ac:dyDescent="0.2">
      <c r="B36" s="139" t="s">
        <v>12</v>
      </c>
      <c r="C36" s="145" t="s">
        <v>42</v>
      </c>
      <c r="D36" s="139">
        <v>1.21</v>
      </c>
      <c r="E36" s="139">
        <v>2</v>
      </c>
      <c r="F36" s="139">
        <f>IF(C36="2020-21",1,0)</f>
        <v>1</v>
      </c>
      <c r="G36" s="139">
        <v>526</v>
      </c>
      <c r="H36" s="139">
        <f>IF(COUNTIF($B$3:$B$62,B36)=3,1,0)</f>
        <v>1</v>
      </c>
    </row>
    <row r="37" spans="2:8" ht="17" x14ac:dyDescent="0.2">
      <c r="B37" s="139" t="s">
        <v>41</v>
      </c>
      <c r="C37" s="145" t="s">
        <v>42</v>
      </c>
      <c r="D37" s="139">
        <v>0.84</v>
      </c>
      <c r="E37" s="139">
        <v>13</v>
      </c>
      <c r="F37" s="139">
        <f>IF(C37="2020-21",1,0)</f>
        <v>1</v>
      </c>
      <c r="G37" s="139">
        <v>263</v>
      </c>
      <c r="H37" s="139">
        <f>IF(COUNTIF($B$3:$B$62,B37)=3,1,0)</f>
        <v>0</v>
      </c>
    </row>
    <row r="38" spans="2:8" ht="17" x14ac:dyDescent="0.2">
      <c r="B38" s="139" t="s">
        <v>15</v>
      </c>
      <c r="C38" s="145" t="s">
        <v>42</v>
      </c>
      <c r="D38" s="139">
        <v>1.42</v>
      </c>
      <c r="E38" s="139">
        <v>27</v>
      </c>
      <c r="F38" s="139">
        <f>IF(C38="2020-21",1,0)</f>
        <v>1</v>
      </c>
      <c r="G38" s="139">
        <v>526</v>
      </c>
      <c r="H38" s="139">
        <f>IF(COUNTIF($B$3:$B$62,B38)=3,1,0)</f>
        <v>0</v>
      </c>
    </row>
    <row r="39" spans="2:8" ht="17" x14ac:dyDescent="0.2">
      <c r="B39" s="139" t="s">
        <v>3</v>
      </c>
      <c r="C39" s="145" t="s">
        <v>42</v>
      </c>
      <c r="D39" s="139">
        <v>1.74</v>
      </c>
      <c r="E39" s="139">
        <v>7</v>
      </c>
      <c r="F39" s="139">
        <f>IF(C39="2020-21",1,0)</f>
        <v>1</v>
      </c>
      <c r="G39" s="139">
        <v>632</v>
      </c>
      <c r="H39" s="139">
        <f>IF(COUNTIF($B$3:$B$62,B39)=3,1,0)</f>
        <v>1</v>
      </c>
    </row>
    <row r="40" spans="2:8" ht="17" x14ac:dyDescent="0.2">
      <c r="B40" s="139" t="s">
        <v>44</v>
      </c>
      <c r="C40" s="145" t="s">
        <v>42</v>
      </c>
      <c r="D40" s="139">
        <v>0.79</v>
      </c>
      <c r="E40" s="139">
        <v>-7</v>
      </c>
      <c r="F40" s="139">
        <f>IF(C40="2020-21",1,0)</f>
        <v>1</v>
      </c>
      <c r="G40" s="139">
        <v>283</v>
      </c>
      <c r="H40" s="139">
        <f>IF(COUNTIF($B$3:$B$62,B40)=3,1,0)</f>
        <v>0</v>
      </c>
    </row>
    <row r="41" spans="2:8" ht="17" x14ac:dyDescent="0.2">
      <c r="B41" s="139" t="s">
        <v>9</v>
      </c>
      <c r="C41" s="145" t="s">
        <v>42</v>
      </c>
      <c r="D41" s="139">
        <v>1.79</v>
      </c>
      <c r="E41" s="139">
        <v>5</v>
      </c>
      <c r="F41" s="139">
        <f>IF(C41="2020-21",1,0)</f>
        <v>1</v>
      </c>
      <c r="G41" s="139">
        <v>632</v>
      </c>
      <c r="H41" s="139">
        <f>IF(COUNTIF($B$3:$B$62,B41)=3,1,0)</f>
        <v>1</v>
      </c>
    </row>
    <row r="42" spans="2:8" ht="17" x14ac:dyDescent="0.2">
      <c r="B42" s="139" t="s">
        <v>6</v>
      </c>
      <c r="C42" s="145" t="s">
        <v>42</v>
      </c>
      <c r="D42" s="139">
        <v>1.32</v>
      </c>
      <c r="E42" s="139">
        <v>8</v>
      </c>
      <c r="F42" s="139">
        <f>IF(C42="2020-21",1,0)</f>
        <v>1</v>
      </c>
      <c r="G42" s="139">
        <v>237</v>
      </c>
      <c r="H42" s="139">
        <f>IF(COUNTIF($B$3:$B$62,B42)=3,1,0)</f>
        <v>1</v>
      </c>
    </row>
    <row r="43" spans="2:8" ht="17" x14ac:dyDescent="0.2">
      <c r="B43" s="139" t="s">
        <v>4</v>
      </c>
      <c r="C43" s="145" t="s">
        <v>46</v>
      </c>
      <c r="D43" s="139">
        <v>2.4700000000000002</v>
      </c>
      <c r="E43" s="139">
        <v>2</v>
      </c>
      <c r="F43" s="139">
        <f>IF(C43="2020-21",1,0)</f>
        <v>0</v>
      </c>
      <c r="G43" s="141">
        <v>60236</v>
      </c>
      <c r="H43" s="139">
        <f>IF(COUNTIF($B$3:$B$62,B43)=3,1,0)</f>
        <v>1</v>
      </c>
    </row>
    <row r="44" spans="2:8" ht="17" x14ac:dyDescent="0.2">
      <c r="B44" s="139" t="s">
        <v>40</v>
      </c>
      <c r="C44" s="145" t="s">
        <v>46</v>
      </c>
      <c r="D44" s="139">
        <v>2.11</v>
      </c>
      <c r="E44" s="139">
        <v>25</v>
      </c>
      <c r="F44" s="139">
        <f>IF(C44="2020-21",1,0)</f>
        <v>0</v>
      </c>
      <c r="G44" s="141">
        <v>41858</v>
      </c>
      <c r="H44" s="139">
        <f>IF(COUNTIF($B$3:$B$62,B44)=3,1,0)</f>
        <v>0</v>
      </c>
    </row>
    <row r="45" spans="2:8" ht="17" x14ac:dyDescent="0.2">
      <c r="B45" s="139" t="s">
        <v>13</v>
      </c>
      <c r="C45" s="145" t="s">
        <v>46</v>
      </c>
      <c r="D45" s="139">
        <v>1.42</v>
      </c>
      <c r="E45" s="139">
        <v>11</v>
      </c>
      <c r="F45" s="139">
        <f>IF(C45="2020-21",1,0)</f>
        <v>0</v>
      </c>
      <c r="G45" s="141">
        <v>11103</v>
      </c>
      <c r="H45" s="139">
        <f>IF(COUNTIF($B$3:$B$62,B45)=3,1,0)</f>
        <v>0</v>
      </c>
    </row>
    <row r="46" spans="2:8" ht="17" x14ac:dyDescent="0.2">
      <c r="B46" s="139" t="s">
        <v>45</v>
      </c>
      <c r="C46" s="145" t="s">
        <v>46</v>
      </c>
      <c r="D46" s="139">
        <v>1.1599999999999999</v>
      </c>
      <c r="E46" s="139">
        <v>-1</v>
      </c>
      <c r="F46" s="139">
        <f>IF(C46="2020-21",1,0)</f>
        <v>0</v>
      </c>
      <c r="G46" s="141">
        <v>17082</v>
      </c>
      <c r="H46" s="139">
        <f>IF(COUNTIF($B$3:$B$62,B46)=3,1,0)</f>
        <v>0</v>
      </c>
    </row>
    <row r="47" spans="2:8" ht="17" x14ac:dyDescent="0.2">
      <c r="B47" s="139" t="s">
        <v>16</v>
      </c>
      <c r="C47" s="145" t="s">
        <v>46</v>
      </c>
      <c r="D47" s="139">
        <v>1.58</v>
      </c>
      <c r="E47" s="139">
        <v>13</v>
      </c>
      <c r="F47" s="139">
        <f>IF(C47="2020-21",1,0)</f>
        <v>0</v>
      </c>
      <c r="G47" s="141">
        <v>32638</v>
      </c>
      <c r="H47" s="139">
        <f>IF(COUNTIF($B$3:$B$62,B47)=3,1,0)</f>
        <v>1</v>
      </c>
    </row>
    <row r="48" spans="2:8" ht="17" x14ac:dyDescent="0.2">
      <c r="B48" s="139" t="s">
        <v>14</v>
      </c>
      <c r="C48" s="145" t="s">
        <v>46</v>
      </c>
      <c r="D48" s="139">
        <v>0.53</v>
      </c>
      <c r="E48" s="139">
        <v>-11</v>
      </c>
      <c r="F48" s="139">
        <f>IF(C48="2020-21",1,0)</f>
        <v>0</v>
      </c>
      <c r="G48" s="141">
        <v>21184</v>
      </c>
      <c r="H48" s="139">
        <f>IF(COUNTIF($B$3:$B$62,B48)=3,1,0)</f>
        <v>1</v>
      </c>
    </row>
    <row r="49" spans="2:8" ht="17" x14ac:dyDescent="0.2">
      <c r="B49" s="139" t="s">
        <v>2</v>
      </c>
      <c r="C49" s="145" t="s">
        <v>46</v>
      </c>
      <c r="D49" s="139">
        <v>1.95</v>
      </c>
      <c r="E49" s="139">
        <v>22</v>
      </c>
      <c r="F49" s="139">
        <f>IF(C49="2020-21",1,0)</f>
        <v>0</v>
      </c>
      <c r="G49" s="141">
        <v>39524</v>
      </c>
      <c r="H49" s="139">
        <f>IF(COUNTIF($B$3:$B$62,B49)=3,1,0)</f>
        <v>1</v>
      </c>
    </row>
    <row r="50" spans="2:8" ht="17" x14ac:dyDescent="0.2">
      <c r="B50" s="139" t="s">
        <v>11</v>
      </c>
      <c r="C50" s="145" t="s">
        <v>46</v>
      </c>
      <c r="D50" s="139">
        <v>1.47</v>
      </c>
      <c r="E50" s="139">
        <v>23</v>
      </c>
      <c r="F50" s="139">
        <f>IF(C50="2020-21",1,0)</f>
        <v>0</v>
      </c>
      <c r="G50" s="141">
        <v>24932</v>
      </c>
      <c r="H50" s="139">
        <f>IF(COUNTIF($B$3:$B$62,B50)=3,1,0)</f>
        <v>1</v>
      </c>
    </row>
    <row r="51" spans="2:8" ht="17" x14ac:dyDescent="0.2">
      <c r="B51" s="139" t="s">
        <v>7</v>
      </c>
      <c r="C51" s="145" t="s">
        <v>46</v>
      </c>
      <c r="D51" s="139">
        <v>1.47</v>
      </c>
      <c r="E51" s="139">
        <v>19</v>
      </c>
      <c r="F51" s="139">
        <f>IF(C51="2020-21",1,0)</f>
        <v>0</v>
      </c>
      <c r="G51" s="141">
        <v>39042</v>
      </c>
      <c r="H51" s="139">
        <f>IF(COUNTIF($B$3:$B$62,B51)=3,1,0)</f>
        <v>1</v>
      </c>
    </row>
    <row r="52" spans="2:8" ht="17" x14ac:dyDescent="0.2">
      <c r="B52" s="139" t="s">
        <v>18</v>
      </c>
      <c r="C52" s="145" t="s">
        <v>46</v>
      </c>
      <c r="D52" s="139">
        <v>1.53</v>
      </c>
      <c r="E52" s="139">
        <v>20</v>
      </c>
      <c r="F52" s="139">
        <f>IF(C52="2020-21",1,0)</f>
        <v>0</v>
      </c>
      <c r="G52" s="141">
        <v>24302</v>
      </c>
      <c r="H52" s="139">
        <f>IF(COUNTIF($B$3:$B$62,B52)=3,1,0)</f>
        <v>1</v>
      </c>
    </row>
    <row r="53" spans="2:8" ht="17" x14ac:dyDescent="0.2">
      <c r="B53" s="139" t="s">
        <v>1</v>
      </c>
      <c r="C53" s="145" t="s">
        <v>46</v>
      </c>
      <c r="D53" s="139">
        <v>2.5299999999999998</v>
      </c>
      <c r="E53" s="139">
        <v>19</v>
      </c>
      <c r="F53" s="139">
        <f>IF(C53="2020-21",1,0)</f>
        <v>0</v>
      </c>
      <c r="G53" s="141">
        <v>55979</v>
      </c>
      <c r="H53" s="139">
        <f>IF(COUNTIF($B$3:$B$62,B53)=3,1,0)</f>
        <v>1</v>
      </c>
    </row>
    <row r="54" spans="2:8" ht="17" x14ac:dyDescent="0.2">
      <c r="B54" s="139" t="s">
        <v>47</v>
      </c>
      <c r="C54" s="145" t="s">
        <v>46</v>
      </c>
      <c r="D54" s="139">
        <v>0.84</v>
      </c>
      <c r="E54" s="139">
        <v>15</v>
      </c>
      <c r="F54" s="139">
        <f>IF(C54="2020-21",1,0)</f>
        <v>0</v>
      </c>
      <c r="G54" s="141">
        <v>11240</v>
      </c>
      <c r="H54" s="139">
        <f>IF(COUNTIF($B$3:$B$62,B54)=3,1,0)</f>
        <v>0</v>
      </c>
    </row>
    <row r="55" spans="2:8" ht="17" x14ac:dyDescent="0.2">
      <c r="B55" s="139" t="s">
        <v>0</v>
      </c>
      <c r="C55" s="145" t="s">
        <v>46</v>
      </c>
      <c r="D55" s="139">
        <v>2.4700000000000002</v>
      </c>
      <c r="E55" s="139">
        <v>8</v>
      </c>
      <c r="F55" s="139">
        <f>IF(C55="2020-21",1,0)</f>
        <v>0</v>
      </c>
      <c r="G55" s="141">
        <v>53012</v>
      </c>
      <c r="H55" s="139">
        <f>IF(COUNTIF($B$3:$B$62,B55)=3,1,0)</f>
        <v>1</v>
      </c>
    </row>
    <row r="56" spans="2:8" ht="17" x14ac:dyDescent="0.2">
      <c r="B56" s="139" t="s">
        <v>5</v>
      </c>
      <c r="C56" s="145" t="s">
        <v>46</v>
      </c>
      <c r="D56" s="139">
        <v>1.74</v>
      </c>
      <c r="E56" s="139">
        <v>7</v>
      </c>
      <c r="F56" s="139">
        <f>IF(C56="2020-21",1,0)</f>
        <v>0</v>
      </c>
      <c r="G56" s="141">
        <v>73533</v>
      </c>
      <c r="H56" s="139">
        <f>IF(COUNTIF($B$3:$B$62,B56)=3,1,0)</f>
        <v>1</v>
      </c>
    </row>
    <row r="57" spans="2:8" ht="17" x14ac:dyDescent="0.2">
      <c r="B57" s="139" t="s">
        <v>12</v>
      </c>
      <c r="C57" s="145" t="s">
        <v>46</v>
      </c>
      <c r="D57" s="139">
        <v>2.11</v>
      </c>
      <c r="E57" s="139">
        <v>31</v>
      </c>
      <c r="F57" s="139">
        <f>IF(C57="2020-21",1,0)</f>
        <v>0</v>
      </c>
      <c r="G57" s="141">
        <v>52125</v>
      </c>
      <c r="H57" s="139">
        <f>IF(COUNTIF($B$3:$B$62,B57)=3,1,0)</f>
        <v>1</v>
      </c>
    </row>
    <row r="58" spans="2:8" ht="17" x14ac:dyDescent="0.2">
      <c r="B58" s="139" t="s">
        <v>48</v>
      </c>
      <c r="C58" s="145" t="s">
        <v>46</v>
      </c>
      <c r="D58" s="139">
        <v>1.05</v>
      </c>
      <c r="E58" s="139">
        <v>12</v>
      </c>
      <c r="F58" s="139">
        <f>IF(C58="2020-21",1,0)</f>
        <v>0</v>
      </c>
      <c r="G58" s="141">
        <v>29386</v>
      </c>
      <c r="H58" s="139">
        <f>IF(COUNTIF($B$3:$B$62,B58)=3,1,0)</f>
        <v>0</v>
      </c>
    </row>
    <row r="59" spans="2:8" ht="17" x14ac:dyDescent="0.2">
      <c r="B59" s="139" t="s">
        <v>41</v>
      </c>
      <c r="C59" s="145" t="s">
        <v>46</v>
      </c>
      <c r="D59" s="139">
        <v>0.53</v>
      </c>
      <c r="E59" s="139">
        <v>-7</v>
      </c>
      <c r="F59" s="139">
        <f>IF(C59="2020-21",1,0)</f>
        <v>0</v>
      </c>
      <c r="G59" s="141">
        <v>30011</v>
      </c>
      <c r="H59" s="139">
        <f>IF(COUNTIF($B$3:$B$62,B59)=3,1,0)</f>
        <v>0</v>
      </c>
    </row>
    <row r="60" spans="2:8" ht="17" x14ac:dyDescent="0.2">
      <c r="B60" s="139" t="s">
        <v>3</v>
      </c>
      <c r="C60" s="145" t="s">
        <v>46</v>
      </c>
      <c r="D60" s="139">
        <v>2.0499999999999998</v>
      </c>
      <c r="E60" s="139">
        <v>9</v>
      </c>
      <c r="F60" s="139">
        <f>IF(C60="2020-21",1,0)</f>
        <v>0</v>
      </c>
      <c r="G60" s="141">
        <v>61482</v>
      </c>
      <c r="H60" s="139">
        <f>IF(COUNTIF($B$3:$B$62,B60)=3,1,0)</f>
        <v>1</v>
      </c>
    </row>
    <row r="61" spans="2:8" ht="17" x14ac:dyDescent="0.2">
      <c r="B61" s="139" t="s">
        <v>9</v>
      </c>
      <c r="C61" s="145" t="s">
        <v>46</v>
      </c>
      <c r="D61" s="139">
        <v>1.53</v>
      </c>
      <c r="E61" s="139">
        <v>20</v>
      </c>
      <c r="F61" s="139">
        <f>IF(C61="2020-21",1,0)</f>
        <v>0</v>
      </c>
      <c r="G61" s="141">
        <v>62567</v>
      </c>
      <c r="H61" s="139">
        <f>IF(COUNTIF($B$3:$B$62,B61)=3,1,0)</f>
        <v>1</v>
      </c>
    </row>
    <row r="62" spans="2:8" ht="17" x14ac:dyDescent="0.2">
      <c r="B62" s="139" t="s">
        <v>6</v>
      </c>
      <c r="C62" s="145" t="s">
        <v>46</v>
      </c>
      <c r="D62" s="139">
        <v>1.42</v>
      </c>
      <c r="E62" s="139">
        <v>7</v>
      </c>
      <c r="F62" s="139">
        <f>IF(C62="2020-21",1,0)</f>
        <v>0</v>
      </c>
      <c r="G62" s="141">
        <v>31029</v>
      </c>
      <c r="H62" s="139">
        <f>IF(COUNTIF($B$3:$B$62,B62)=3,1,0)</f>
        <v>1</v>
      </c>
    </row>
  </sheetData>
  <autoFilter ref="B2:H2" xr:uid="{3332CD90-732E-B040-ABBA-9FDC9EF6F8CC}">
    <sortState xmlns:xlrd2="http://schemas.microsoft.com/office/spreadsheetml/2017/richdata2" ref="B3:H62">
      <sortCondition ref="C2:C6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4C8D-CC17-7B4C-A243-A72EC334ACE6}">
  <sheetPr codeName="Sheet7"/>
  <dimension ref="A1:I20"/>
  <sheetViews>
    <sheetView showGridLines="0" zoomScaleNormal="100" workbookViewId="0"/>
  </sheetViews>
  <sheetFormatPr baseColWidth="10" defaultRowHeight="16" x14ac:dyDescent="0.2"/>
  <cols>
    <col min="1" max="1" width="28.33203125" style="66" bestFit="1" customWidth="1"/>
    <col min="2" max="2" width="16.33203125" style="66" bestFit="1" customWidth="1"/>
    <col min="3" max="3" width="16.6640625" style="66" bestFit="1" customWidth="1"/>
    <col min="4" max="4" width="15.83203125" style="66" bestFit="1" customWidth="1"/>
    <col min="5" max="5" width="16.33203125" style="66" bestFit="1" customWidth="1"/>
    <col min="6" max="6" width="16.83203125" style="66" bestFit="1" customWidth="1"/>
    <col min="7" max="7" width="16.33203125" style="66" bestFit="1" customWidth="1"/>
    <col min="8" max="8" width="16.83203125" style="66" bestFit="1" customWidth="1"/>
    <col min="9" max="9" width="16.33203125" style="66" bestFit="1" customWidth="1"/>
    <col min="10" max="16384" width="10.83203125" style="66"/>
  </cols>
  <sheetData>
    <row r="1" spans="1:9" x14ac:dyDescent="0.2">
      <c r="A1" s="66" t="s">
        <v>114</v>
      </c>
    </row>
    <row r="2" spans="1:9" ht="17" thickBot="1" x14ac:dyDescent="0.25"/>
    <row r="3" spans="1:9" x14ac:dyDescent="0.2">
      <c r="A3" s="120" t="s">
        <v>115</v>
      </c>
      <c r="B3" s="120"/>
    </row>
    <row r="4" spans="1:9" x14ac:dyDescent="0.2">
      <c r="A4" s="66" t="s">
        <v>116</v>
      </c>
      <c r="B4" s="66">
        <v>0.64076941232938134</v>
      </c>
    </row>
    <row r="5" spans="1:9" x14ac:dyDescent="0.2">
      <c r="A5" s="66" t="s">
        <v>117</v>
      </c>
      <c r="B5" s="158">
        <v>0.41058543977694073</v>
      </c>
    </row>
    <row r="6" spans="1:9" x14ac:dyDescent="0.2">
      <c r="A6" s="66" t="s">
        <v>118</v>
      </c>
      <c r="B6" s="66">
        <v>0.37900965976499112</v>
      </c>
    </row>
    <row r="7" spans="1:9" x14ac:dyDescent="0.2">
      <c r="A7" s="66" t="s">
        <v>119</v>
      </c>
      <c r="B7" s="66">
        <v>0.42919726682926695</v>
      </c>
    </row>
    <row r="8" spans="1:9" ht="17" thickBot="1" x14ac:dyDescent="0.25">
      <c r="A8" s="121" t="s">
        <v>120</v>
      </c>
      <c r="B8" s="121">
        <v>60</v>
      </c>
    </row>
    <row r="10" spans="1:9" ht="17" thickBot="1" x14ac:dyDescent="0.25">
      <c r="A10" s="66" t="s">
        <v>121</v>
      </c>
    </row>
    <row r="11" spans="1:9" x14ac:dyDescent="0.2">
      <c r="A11" s="122"/>
      <c r="B11" s="122" t="s">
        <v>126</v>
      </c>
      <c r="C11" s="122" t="s">
        <v>127</v>
      </c>
      <c r="D11" s="122" t="s">
        <v>128</v>
      </c>
      <c r="E11" s="122" t="s">
        <v>129</v>
      </c>
      <c r="F11" s="122" t="s">
        <v>130</v>
      </c>
    </row>
    <row r="12" spans="1:9" x14ac:dyDescent="0.2">
      <c r="A12" s="66" t="s">
        <v>122</v>
      </c>
      <c r="B12" s="66">
        <v>3</v>
      </c>
      <c r="C12" s="66">
        <v>7.1859568775254115</v>
      </c>
      <c r="D12" s="66">
        <v>2.3953189591751372</v>
      </c>
      <c r="E12" s="66">
        <v>13.00317647328294</v>
      </c>
      <c r="F12" s="66">
        <v>1.4813272312755905E-6</v>
      </c>
    </row>
    <row r="13" spans="1:9" x14ac:dyDescent="0.2">
      <c r="A13" s="66" t="s">
        <v>123</v>
      </c>
      <c r="B13" s="66">
        <v>56</v>
      </c>
      <c r="C13" s="66">
        <v>10.315776455807926</v>
      </c>
      <c r="D13" s="66">
        <v>0.18421029385371296</v>
      </c>
    </row>
    <row r="14" spans="1:9" ht="17" thickBot="1" x14ac:dyDescent="0.25">
      <c r="A14" s="121" t="s">
        <v>124</v>
      </c>
      <c r="B14" s="121">
        <v>59</v>
      </c>
      <c r="C14" s="121">
        <v>17.501733333333338</v>
      </c>
      <c r="D14" s="121"/>
      <c r="E14" s="121"/>
      <c r="F14" s="121"/>
    </row>
    <row r="15" spans="1:9" ht="17" thickBot="1" x14ac:dyDescent="0.25"/>
    <row r="16" spans="1:9" x14ac:dyDescent="0.2">
      <c r="A16" s="122"/>
      <c r="B16" s="122" t="s">
        <v>131</v>
      </c>
      <c r="C16" s="122" t="s">
        <v>119</v>
      </c>
      <c r="D16" s="122" t="s">
        <v>132</v>
      </c>
      <c r="E16" s="122" t="s">
        <v>133</v>
      </c>
      <c r="F16" s="122" t="s">
        <v>134</v>
      </c>
      <c r="G16" s="122" t="s">
        <v>135</v>
      </c>
      <c r="H16" s="122" t="s">
        <v>136</v>
      </c>
      <c r="I16" s="122" t="s">
        <v>137</v>
      </c>
    </row>
    <row r="17" spans="1:9" x14ac:dyDescent="0.2">
      <c r="A17" s="66" t="s">
        <v>125</v>
      </c>
      <c r="B17" s="66">
        <v>0.71489746942710619</v>
      </c>
      <c r="C17" s="66">
        <v>0.16746185985187939</v>
      </c>
      <c r="D17" s="66">
        <v>4.2690166588346479</v>
      </c>
      <c r="E17" s="66">
        <v>7.6590131924369754E-5</v>
      </c>
      <c r="F17" s="66">
        <v>0.37943105291782558</v>
      </c>
      <c r="G17" s="66">
        <v>1.0503638859363869</v>
      </c>
      <c r="H17" s="66">
        <v>0.37943105291782558</v>
      </c>
      <c r="I17" s="66">
        <v>1.0503638859363869</v>
      </c>
    </row>
    <row r="18" spans="1:9" x14ac:dyDescent="0.2">
      <c r="A18" s="66" t="s">
        <v>104</v>
      </c>
      <c r="B18" s="66">
        <v>0.49788776518028904</v>
      </c>
      <c r="C18" s="66">
        <v>0.20520427267000899</v>
      </c>
      <c r="D18" s="66">
        <v>2.4263031110514315</v>
      </c>
      <c r="E18" s="66">
        <v>1.8498776660939503E-2</v>
      </c>
      <c r="F18" s="66">
        <v>8.6814210486165361E-2</v>
      </c>
      <c r="G18" s="66">
        <v>0.90896131987441275</v>
      </c>
      <c r="H18" s="66">
        <v>8.6814210486165361E-2</v>
      </c>
      <c r="I18" s="66">
        <v>0.90896131987441275</v>
      </c>
    </row>
    <row r="19" spans="1:9" x14ac:dyDescent="0.2">
      <c r="A19" s="66" t="s">
        <v>103</v>
      </c>
      <c r="B19" s="66">
        <v>1.9721427225195772E-5</v>
      </c>
      <c r="C19" s="66">
        <v>4.4340075469317628E-6</v>
      </c>
      <c r="D19" s="66">
        <v>4.4477658227809229</v>
      </c>
      <c r="E19" s="66">
        <v>4.1660444734551145E-5</v>
      </c>
      <c r="F19" s="66">
        <v>1.0839042759503296E-5</v>
      </c>
      <c r="G19" s="66">
        <v>2.860381169088825E-5</v>
      </c>
      <c r="H19" s="66">
        <v>1.0839042759503296E-5</v>
      </c>
      <c r="I19" s="66">
        <v>2.860381169088825E-5</v>
      </c>
    </row>
    <row r="20" spans="1:9" ht="17" thickBot="1" x14ac:dyDescent="0.25">
      <c r="A20" s="121" t="s">
        <v>105</v>
      </c>
      <c r="B20" s="121">
        <v>0.19228925706171901</v>
      </c>
      <c r="C20" s="121">
        <v>0.13541721840801421</v>
      </c>
      <c r="D20" s="121">
        <v>1.4199764204456515</v>
      </c>
      <c r="E20" s="121">
        <v>0.16115796399488125</v>
      </c>
      <c r="F20" s="121">
        <v>-7.8984028886330757E-2</v>
      </c>
      <c r="G20" s="121">
        <v>0.46356254300976879</v>
      </c>
      <c r="H20" s="121">
        <v>-7.8984028886330757E-2</v>
      </c>
      <c r="I20" s="121">
        <v>0.46356254300976879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9D4D-8E52-C445-BE3D-30E79AA2CDCA}">
  <dimension ref="A1:I20"/>
  <sheetViews>
    <sheetView showGridLines="0" workbookViewId="0"/>
  </sheetViews>
  <sheetFormatPr baseColWidth="10" defaultRowHeight="16" x14ac:dyDescent="0.2"/>
  <cols>
    <col min="1" max="1" width="28.1640625" style="66" bestFit="1" customWidth="1"/>
    <col min="2" max="2" width="16.83203125" style="66" bestFit="1" customWidth="1"/>
    <col min="3" max="3" width="16.6640625" style="66" bestFit="1" customWidth="1"/>
    <col min="4" max="4" width="16.83203125" style="66" bestFit="1" customWidth="1"/>
    <col min="5" max="5" width="15.83203125" style="66" bestFit="1" customWidth="1"/>
    <col min="6" max="6" width="17.1640625" style="66" bestFit="1" customWidth="1"/>
    <col min="7" max="7" width="15.83203125" style="66" bestFit="1" customWidth="1"/>
    <col min="8" max="8" width="17.1640625" style="66" bestFit="1" customWidth="1"/>
    <col min="9" max="9" width="15.83203125" style="66" bestFit="1" customWidth="1"/>
    <col min="10" max="16384" width="10.83203125" style="66"/>
  </cols>
  <sheetData>
    <row r="1" spans="1:9" x14ac:dyDescent="0.2">
      <c r="A1" s="66" t="s">
        <v>114</v>
      </c>
    </row>
    <row r="2" spans="1:9" ht="17" thickBot="1" x14ac:dyDescent="0.25"/>
    <row r="3" spans="1:9" ht="16" customHeight="1" x14ac:dyDescent="0.2">
      <c r="A3" s="167" t="s">
        <v>115</v>
      </c>
      <c r="B3" s="167"/>
      <c r="D3" s="172" t="s">
        <v>162</v>
      </c>
      <c r="E3" s="172"/>
      <c r="F3" s="172"/>
      <c r="G3" s="172"/>
      <c r="H3" s="173"/>
      <c r="I3" s="173"/>
    </row>
    <row r="4" spans="1:9" x14ac:dyDescent="0.2">
      <c r="A4" s="168" t="s">
        <v>116</v>
      </c>
      <c r="B4" s="168">
        <v>0.50653809208424538</v>
      </c>
      <c r="D4" s="172"/>
      <c r="E4" s="172"/>
      <c r="F4" s="172"/>
      <c r="G4" s="172"/>
      <c r="H4" s="173"/>
      <c r="I4" s="173"/>
    </row>
    <row r="5" spans="1:9" x14ac:dyDescent="0.2">
      <c r="A5" s="168" t="s">
        <v>117</v>
      </c>
      <c r="B5" s="169">
        <v>0.25658083873234744</v>
      </c>
      <c r="D5" s="172"/>
      <c r="E5" s="172"/>
      <c r="F5" s="172"/>
      <c r="G5" s="172"/>
      <c r="H5" s="173"/>
      <c r="I5" s="173"/>
    </row>
    <row r="6" spans="1:9" x14ac:dyDescent="0.2">
      <c r="A6" s="168" t="s">
        <v>118</v>
      </c>
      <c r="B6" s="168">
        <v>0.21675481223586604</v>
      </c>
      <c r="D6" s="172"/>
      <c r="E6" s="172"/>
      <c r="F6" s="172"/>
      <c r="G6" s="172"/>
      <c r="H6" s="173"/>
      <c r="I6" s="173"/>
    </row>
    <row r="7" spans="1:9" x14ac:dyDescent="0.2">
      <c r="A7" s="168" t="s">
        <v>119</v>
      </c>
      <c r="B7" s="168">
        <v>10.020447994123259</v>
      </c>
      <c r="D7" s="172"/>
      <c r="E7" s="172"/>
      <c r="F7" s="172"/>
      <c r="G7" s="172"/>
      <c r="H7" s="173"/>
      <c r="I7" s="173"/>
    </row>
    <row r="8" spans="1:9" ht="17" thickBot="1" x14ac:dyDescent="0.25">
      <c r="A8" s="170" t="s">
        <v>120</v>
      </c>
      <c r="B8" s="170">
        <v>60</v>
      </c>
      <c r="D8" s="173"/>
      <c r="E8" s="173"/>
      <c r="F8" s="173"/>
      <c r="G8" s="173"/>
      <c r="H8" s="173"/>
      <c r="I8" s="173"/>
    </row>
    <row r="10" spans="1:9" ht="17" thickBot="1" x14ac:dyDescent="0.25">
      <c r="A10" s="66" t="s">
        <v>121</v>
      </c>
    </row>
    <row r="11" spans="1:9" x14ac:dyDescent="0.2">
      <c r="A11" s="171"/>
      <c r="B11" s="171" t="s">
        <v>126</v>
      </c>
      <c r="C11" s="171" t="s">
        <v>127</v>
      </c>
      <c r="D11" s="171" t="s">
        <v>128</v>
      </c>
      <c r="E11" s="171" t="s">
        <v>129</v>
      </c>
      <c r="F11" s="171" t="s">
        <v>130</v>
      </c>
    </row>
    <row r="12" spans="1:9" x14ac:dyDescent="0.2">
      <c r="A12" s="168" t="s">
        <v>122</v>
      </c>
      <c r="B12" s="168">
        <v>3</v>
      </c>
      <c r="C12" s="168">
        <v>1940.6748318359823</v>
      </c>
      <c r="D12" s="168">
        <v>646.89161061199411</v>
      </c>
      <c r="E12" s="168">
        <v>6.4425417573359027</v>
      </c>
      <c r="F12" s="168">
        <v>7.9657516947887104E-4</v>
      </c>
    </row>
    <row r="13" spans="1:9" x14ac:dyDescent="0.2">
      <c r="A13" s="168" t="s">
        <v>123</v>
      </c>
      <c r="B13" s="168">
        <v>56</v>
      </c>
      <c r="C13" s="168">
        <v>5622.9251681640153</v>
      </c>
      <c r="D13" s="168">
        <v>100.40937800292885</v>
      </c>
      <c r="E13" s="168"/>
      <c r="F13" s="168"/>
    </row>
    <row r="14" spans="1:9" ht="17" thickBot="1" x14ac:dyDescent="0.25">
      <c r="A14" s="170" t="s">
        <v>124</v>
      </c>
      <c r="B14" s="170">
        <v>59</v>
      </c>
      <c r="C14" s="170">
        <v>7563.5999999999976</v>
      </c>
      <c r="D14" s="170"/>
      <c r="E14" s="170"/>
      <c r="F14" s="170"/>
    </row>
    <row r="15" spans="1:9" ht="17" thickBot="1" x14ac:dyDescent="0.25"/>
    <row r="16" spans="1:9" x14ac:dyDescent="0.2">
      <c r="A16" s="171"/>
      <c r="B16" s="171" t="s">
        <v>131</v>
      </c>
      <c r="C16" s="171" t="s">
        <v>119</v>
      </c>
      <c r="D16" s="171" t="s">
        <v>132</v>
      </c>
      <c r="E16" s="171" t="s">
        <v>133</v>
      </c>
      <c r="F16" s="171" t="s">
        <v>134</v>
      </c>
      <c r="G16" s="171" t="s">
        <v>135</v>
      </c>
      <c r="H16" s="171" t="s">
        <v>136</v>
      </c>
      <c r="I16" s="171" t="s">
        <v>137</v>
      </c>
    </row>
    <row r="17" spans="1:9" x14ac:dyDescent="0.2">
      <c r="A17" s="168" t="s">
        <v>125</v>
      </c>
      <c r="B17" s="168">
        <v>8.4754382624548441</v>
      </c>
      <c r="C17" s="168">
        <v>3.9097240064961416</v>
      </c>
      <c r="D17" s="168">
        <v>2.1677842856356637</v>
      </c>
      <c r="E17" s="168">
        <v>3.4441374248302542E-2</v>
      </c>
      <c r="F17" s="168">
        <v>0.64331993318472858</v>
      </c>
      <c r="G17" s="168">
        <v>16.307556591724961</v>
      </c>
      <c r="H17" s="168">
        <v>0.64331993318472858</v>
      </c>
      <c r="I17" s="168">
        <v>16.307556591724961</v>
      </c>
    </row>
    <row r="18" spans="1:9" x14ac:dyDescent="0.2">
      <c r="A18" s="168" t="s">
        <v>104</v>
      </c>
      <c r="B18" s="168">
        <v>-7.6241597599204454</v>
      </c>
      <c r="C18" s="168">
        <v>4.7908943075345292</v>
      </c>
      <c r="D18" s="168">
        <v>-1.5913855056101123</v>
      </c>
      <c r="E18" s="168">
        <v>0.11715271206515229</v>
      </c>
      <c r="F18" s="168">
        <v>-17.221474316470097</v>
      </c>
      <c r="G18" s="168">
        <v>1.973154796629206</v>
      </c>
      <c r="H18" s="168">
        <v>-17.221474316470097</v>
      </c>
      <c r="I18" s="168">
        <v>1.973154796629206</v>
      </c>
    </row>
    <row r="19" spans="1:9" x14ac:dyDescent="0.2">
      <c r="A19" s="168" t="s">
        <v>103</v>
      </c>
      <c r="B19" s="168">
        <v>1.074419584431524E-4</v>
      </c>
      <c r="C19" s="168">
        <v>1.0352056143743844E-4</v>
      </c>
      <c r="D19" s="168">
        <v>1.0378803684143834</v>
      </c>
      <c r="E19" s="168">
        <v>0.30378655064008447</v>
      </c>
      <c r="F19" s="168">
        <v>-9.9934645466317137E-5</v>
      </c>
      <c r="G19" s="168">
        <v>3.1481856235262195E-4</v>
      </c>
      <c r="H19" s="168">
        <v>-9.9934645466317137E-5</v>
      </c>
      <c r="I19" s="168">
        <v>3.1481856235262195E-4</v>
      </c>
    </row>
    <row r="20" spans="1:9" ht="17" thickBot="1" x14ac:dyDescent="0.25">
      <c r="A20" s="170" t="s">
        <v>105</v>
      </c>
      <c r="B20" s="170">
        <v>-0.71560294204723163</v>
      </c>
      <c r="C20" s="170">
        <v>3.1615793003316659</v>
      </c>
      <c r="D20" s="170">
        <v>-0.22634350559296779</v>
      </c>
      <c r="E20" s="170">
        <v>0.82175841192380128</v>
      </c>
      <c r="F20" s="170">
        <v>-7.0490073323381921</v>
      </c>
      <c r="G20" s="170">
        <v>5.6178014482437293</v>
      </c>
      <c r="H20" s="170">
        <v>-7.0490073323381921</v>
      </c>
      <c r="I20" s="170">
        <v>5.6178014482437293</v>
      </c>
    </row>
  </sheetData>
  <mergeCells count="1">
    <mergeCell ref="D3:G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5E65-D90F-1A40-889E-57E5B3F552E2}">
  <dimension ref="B3"/>
  <sheetViews>
    <sheetView showGridLines="0" zoomScaleNormal="100" workbookViewId="0"/>
  </sheetViews>
  <sheetFormatPr baseColWidth="10" defaultRowHeight="16" x14ac:dyDescent="0.2"/>
  <sheetData>
    <row r="3" spans="2:2" x14ac:dyDescent="0.2">
      <c r="B3" s="134" t="s">
        <v>161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Data Dictionary</vt:lpstr>
      <vt:lpstr>EDA</vt:lpstr>
      <vt:lpstr>CP6 Analysis</vt:lpstr>
      <vt:lpstr>CP7 Analysis</vt:lpstr>
      <vt:lpstr>CP7 Regression</vt:lpstr>
      <vt:lpstr>PG Regression</vt:lpstr>
      <vt:lpstr>CP8 Figure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Fajardo, Jennifer</dc:creator>
  <cp:lastModifiedBy>Fajardo, Jennifer</cp:lastModifiedBy>
  <dcterms:created xsi:type="dcterms:W3CDTF">2025-12-04T20:50:44Z</dcterms:created>
  <dcterms:modified xsi:type="dcterms:W3CDTF">2025-12-21T17:35:57Z</dcterms:modified>
</cp:coreProperties>
</file>